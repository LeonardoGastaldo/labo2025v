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cacionadventistaorg-my.sharepoint.com/personal/leonardo_gastaldo_adventistas_org_ar/Documents/Documentos/Personal/Magister Ciencia de Datos/1 Año/Laboratorio de Implementación I/WorkFlow/"/>
    </mc:Choice>
  </mc:AlternateContent>
  <xr:revisionPtr revIDLastSave="1270" documentId="8_{AB0654CA-4363-4047-B956-286D1A8307C8}" xr6:coauthVersionLast="47" xr6:coauthVersionMax="47" xr10:uidLastSave="{9FDD67A5-C24D-4B68-B53B-D6A24CC6174B}"/>
  <bookViews>
    <workbookView xWindow="-28920" yWindow="-120" windowWidth="29040" windowHeight="15720" firstSheet="2" activeTab="4" xr2:uid="{7825530F-2670-4388-88A7-58FE83506D9E}"/>
  </bookViews>
  <sheets>
    <sheet name="2HT Baseline" sheetId="10" r:id="rId1"/>
    <sheet name="6HP" sheetId="6" r:id="rId2"/>
    <sheet name="Datos Modelo Baseline" sheetId="11" r:id="rId3"/>
    <sheet name="Datos Modelo 1 Final" sheetId="9" r:id="rId4"/>
    <sheet name="Datos Modelo 2 Final" sheetId="13" r:id="rId5"/>
  </sheets>
  <definedNames>
    <definedName name="_xlnm._FilterDatabase" localSheetId="4" hidden="1">'Datos Modelo 2 Final'!$A$1:$N$111</definedName>
  </definedNames>
  <calcPr calcId="191029"/>
  <pivotCaches>
    <pivotCache cacheId="76" r:id="rId6"/>
    <pivotCache cacheId="8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1" i="13" l="1"/>
  <c r="N10" i="13"/>
  <c r="M10" i="13"/>
  <c r="M9" i="13"/>
  <c r="K111" i="9"/>
  <c r="M9" i="9"/>
  <c r="N10" i="9"/>
  <c r="M10" i="9"/>
  <c r="M34" i="11"/>
  <c r="K46" i="11"/>
  <c r="J46" i="11"/>
  <c r="K35" i="11"/>
  <c r="J35" i="11"/>
  <c r="K24" i="11"/>
  <c r="J24" i="11"/>
  <c r="K13" i="11"/>
  <c r="J13" i="11"/>
  <c r="K2" i="11"/>
  <c r="J2" i="11"/>
  <c r="K61" i="11"/>
  <c r="M23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E4664B-CD70-46E9-BDC1-5BA3FD3EF256}" keepAlive="1" name="Consulta - BO_log(248887_16HT_Gr)" description="Conexión a la consulta 'BO_log(248887_16HT_Gr)' en el libro." type="5" refreshedVersion="0" background="1" saveData="1">
    <dbPr connection="Provider=Microsoft.Mashup.OleDb.1;Data Source=$Workbook$;Location=BO_log(248887_16HT_Gr);Extended Properties=&quot;&quot;" command="SELECT * FROM [BO_log(248887_16HT_Gr)]"/>
  </connection>
</connections>
</file>

<file path=xl/sharedStrings.xml><?xml version="1.0" encoding="utf-8"?>
<sst xmlns="http://schemas.openxmlformats.org/spreadsheetml/2006/main" count="1171" uniqueCount="153">
  <si>
    <t># parametros fijos del LightGBM</t>
  </si>
  <si>
    <t xml:space="preserve">  </t>
  </si>
  <si>
    <t>#hipeparametertuning</t>
  </si>
  <si>
    <t># Núcleo del modelo (estructura de árboles)</t>
  </si>
  <si>
    <t xml:space="preserve"> min_data_in_leaf -  2L - 8192L</t>
  </si>
  <si>
    <t># Regularización</t>
  </si>
  <si>
    <t># Control del aprendizaje</t>
  </si>
  <si>
    <t>learning_rate -  0.005 - 0.1</t>
  </si>
  <si>
    <t>num_iterations -  100L - 5000L</t>
  </si>
  <si>
    <t># Submuestreo</t>
  </si>
  <si>
    <t>max_bin = 31</t>
  </si>
  <si>
    <t>Param Select</t>
  </si>
  <si>
    <t>*</t>
  </si>
  <si>
    <t xml:space="preserve"> num_leaves -  2L - 8192L</t>
  </si>
  <si>
    <t>lambda_l2 -  0.0 - 1000</t>
  </si>
  <si>
    <t>feature_fraction -  0.05 - 1   # columnas</t>
  </si>
  <si>
    <t>Hiperparámetro</t>
  </si>
  <si>
    <t>BO- mín</t>
  </si>
  <si>
    <t>BO - máx</t>
  </si>
  <si>
    <t>LightGBM (default)</t>
  </si>
  <si>
    <t>Descripción breve</t>
  </si>
  <si>
    <t>num_leaves</t>
  </si>
  <si>
    <t>Número máximo de hojas en cada árbol; controla la complejidad del árbol.</t>
  </si>
  <si>
    <t>max_depth</t>
  </si>
  <si>
    <t>Profundidad máxima del árbol; -1 significa sin límite.</t>
  </si>
  <si>
    <t>min_child_weight</t>
  </si>
  <si>
    <t>Suma mínima de hessianos en una hoja; evita hojas con muy pocos datos.</t>
  </si>
  <si>
    <t>min_data_in_leaf</t>
  </si>
  <si>
    <t>Número mínimo de muestras en una hoja; controla sobreajuste.</t>
  </si>
  <si>
    <t>min_gain_to_split</t>
  </si>
  <si>
    <t>Ganancia mínima requerida para realizar una división.</t>
  </si>
  <si>
    <t>lambda_l1</t>
  </si>
  <si>
    <t>Regularización L1 sobre los pesos de las hojas.</t>
  </si>
  <si>
    <t>lambda_l2</t>
  </si>
  <si>
    <t>Regularización L2 sobre los pesos de las hojas.</t>
  </si>
  <si>
    <t>scale_pos_weight</t>
  </si>
  <si>
    <t>Peso relativo de la clase positiva en clasificación binaria.</t>
  </si>
  <si>
    <t>learning_rate</t>
  </si>
  <si>
    <t>Tasa de aprendizaje (shrinkage); controla el tamaño de los pasos del boosting.</t>
  </si>
  <si>
    <t>num_iterations</t>
  </si>
  <si>
    <t>Número total de iteraciones (árboles) de boosting.</t>
  </si>
  <si>
    <t>early_stopping_rounds</t>
  </si>
  <si>
    <t>Número de rondas sin mejora para detener el entrenamiento; 0 desactiva early stopping.</t>
  </si>
  <si>
    <t>feature_fraction</t>
  </si>
  <si>
    <t>Proporción de columnas usadas al construir cada árbol (submuestreo de features).</t>
  </si>
  <si>
    <t>bagging_fraction</t>
  </si>
  <si>
    <t>Proporción de filas usadas en cada iteración (submuestreo de muestras).</t>
  </si>
  <si>
    <t>bagging_freq</t>
  </si>
  <si>
    <t>Frecuencia de bagging; 0 significa que se desactiva el bagging.</t>
  </si>
  <si>
    <t>max_delta_step</t>
  </si>
  <si>
    <t>Límite máximo para el cambio de salida de las hojas; acota las actualizaciones.</t>
  </si>
  <si>
    <t>path_smooth</t>
  </si>
  <si>
    <t>Suaviza los valores de las hojas promediando con el nodo padre para evitar cambios bruscos.</t>
  </si>
  <si>
    <t>HT</t>
  </si>
  <si>
    <t>ITER</t>
  </si>
  <si>
    <t>Semilla</t>
  </si>
  <si>
    <t>Nro. de HT</t>
  </si>
  <si>
    <t>Nro. Iterac.</t>
  </si>
  <si>
    <t>Nro. Exper.</t>
  </si>
  <si>
    <t>Usuario Google</t>
  </si>
  <si>
    <t>Browser</t>
  </si>
  <si>
    <t>Status</t>
  </si>
  <si>
    <t>Ganancia</t>
  </si>
  <si>
    <t>Envio</t>
  </si>
  <si>
    <t>Tiempo</t>
  </si>
  <si>
    <t>Ganancia mean</t>
  </si>
  <si>
    <t>gastalg02</t>
  </si>
  <si>
    <t>Firefox</t>
  </si>
  <si>
    <t>Terminado</t>
  </si>
  <si>
    <t>En Proceso</t>
  </si>
  <si>
    <t>Tiempo Total</t>
  </si>
  <si>
    <t>Promedio Total</t>
  </si>
  <si>
    <t>WF63141</t>
  </si>
  <si>
    <t>WF63142</t>
  </si>
  <si>
    <t>WF63143</t>
  </si>
  <si>
    <t>WF63144</t>
  </si>
  <si>
    <t>WF63145</t>
  </si>
  <si>
    <t>Sin iniciar</t>
  </si>
  <si>
    <t>Chrome</t>
  </si>
  <si>
    <t>gastalg03</t>
  </si>
  <si>
    <t>WF63146</t>
  </si>
  <si>
    <t>WF63147</t>
  </si>
  <si>
    <t>WF63148</t>
  </si>
  <si>
    <t>WF63149</t>
  </si>
  <si>
    <t>WF63150</t>
  </si>
  <si>
    <t>learning_rate = 0,03</t>
  </si>
  <si>
    <t>feature_fraction = 0,5</t>
  </si>
  <si>
    <t>num_iterations = 2048</t>
  </si>
  <si>
    <t>early_stopping_rounds = 200</t>
  </si>
  <si>
    <t xml:space="preserve"> num_leaves -  2L - 256L</t>
  </si>
  <si>
    <t>WF6300</t>
  </si>
  <si>
    <t>Mediana</t>
  </si>
  <si>
    <t>Mediana Total</t>
  </si>
  <si>
    <t>WF6301</t>
  </si>
  <si>
    <t>WF6302</t>
  </si>
  <si>
    <t>gastalg04</t>
  </si>
  <si>
    <t>WF6303</t>
  </si>
  <si>
    <t>gastalg05</t>
  </si>
  <si>
    <t>WF6304</t>
  </si>
  <si>
    <t>Etiquetas de fila</t>
  </si>
  <si>
    <t>Total general</t>
  </si>
  <si>
    <t>Promedio de Ganancia</t>
  </si>
  <si>
    <t>Etiquetas de columna</t>
  </si>
  <si>
    <t>Cloud</t>
  </si>
  <si>
    <t>Usuario</t>
  </si>
  <si>
    <t>WF63151</t>
  </si>
  <si>
    <t>WF63152</t>
  </si>
  <si>
    <t>WF63153</t>
  </si>
  <si>
    <t>WF63154</t>
  </si>
  <si>
    <t>WF63155</t>
  </si>
  <si>
    <t>WF63156</t>
  </si>
  <si>
    <t>WF63157</t>
  </si>
  <si>
    <t>WF63158</t>
  </si>
  <si>
    <t>WF63159</t>
  </si>
  <si>
    <t>WF63160</t>
  </si>
  <si>
    <t>[1] "📊 Estadísticas por Familia de Envío:"</t>
  </si>
  <si>
    <t># A tibble: 11 × 4</t>
  </si>
  <si>
    <t xml:space="preserve">   Familia Media    SD     CV</t>
  </si>
  <si>
    <r>
      <t xml:space="preserve">   </t>
    </r>
    <r>
      <rPr>
        <i/>
        <sz val="10"/>
        <color theme="1"/>
        <rFont val="Arial Unicode MS"/>
      </rPr>
      <t>&lt;chr&gt;</t>
    </r>
    <r>
      <rPr>
        <sz val="10"/>
        <color theme="1"/>
        <rFont val="Arial Unicode MS"/>
      </rPr>
      <t xml:space="preserve">   </t>
    </r>
    <r>
      <rPr>
        <i/>
        <sz val="10"/>
        <color theme="1"/>
        <rFont val="Arial Unicode MS"/>
      </rPr>
      <t>&lt;dbl&gt;</t>
    </r>
    <r>
      <rPr>
        <sz val="10"/>
        <color theme="1"/>
        <rFont val="Arial Unicode MS"/>
      </rPr>
      <t xml:space="preserve"> </t>
    </r>
    <r>
      <rPr>
        <i/>
        <sz val="10"/>
        <color theme="1"/>
        <rFont val="Arial Unicode MS"/>
      </rPr>
      <t>&lt;dbl&gt;</t>
    </r>
    <r>
      <rPr>
        <sz val="10"/>
        <color theme="1"/>
        <rFont val="Arial Unicode MS"/>
      </rPr>
      <t xml:space="preserve">  </t>
    </r>
    <r>
      <rPr>
        <i/>
        <sz val="10"/>
        <color theme="1"/>
        <rFont val="Arial Unicode MS"/>
      </rPr>
      <t>&lt;dbl&gt;</t>
    </r>
  </si>
  <si>
    <r>
      <t xml:space="preserve"> 1 X900    </t>
    </r>
    <r>
      <rPr>
        <u/>
        <sz val="10"/>
        <color theme="1"/>
        <rFont val="Arial Unicode MS"/>
      </rPr>
      <t>4</t>
    </r>
    <r>
      <rPr>
        <sz val="10"/>
        <color theme="1"/>
        <rFont val="Arial Unicode MS"/>
      </rPr>
      <t>033.  180. 0.044</t>
    </r>
    <r>
      <rPr>
        <u/>
        <sz val="10"/>
        <color theme="1"/>
        <rFont val="Arial Unicode MS"/>
      </rPr>
      <t>8</t>
    </r>
  </si>
  <si>
    <r>
      <t xml:space="preserve"> 2 X1300   </t>
    </r>
    <r>
      <rPr>
        <u/>
        <sz val="10"/>
        <color theme="1"/>
        <rFont val="Arial Unicode MS"/>
      </rPr>
      <t>3</t>
    </r>
    <r>
      <rPr>
        <sz val="10"/>
        <color theme="1"/>
        <rFont val="Arial Unicode MS"/>
      </rPr>
      <t>809.  222. 0.058</t>
    </r>
    <r>
      <rPr>
        <u/>
        <sz val="10"/>
        <color theme="1"/>
        <rFont val="Arial Unicode MS"/>
      </rPr>
      <t>2</t>
    </r>
  </si>
  <si>
    <r>
      <t xml:space="preserve"> 3 X1200   </t>
    </r>
    <r>
      <rPr>
        <u/>
        <sz val="10"/>
        <color theme="1"/>
        <rFont val="Arial Unicode MS"/>
      </rPr>
      <t>3</t>
    </r>
    <r>
      <rPr>
        <sz val="10"/>
        <color theme="1"/>
        <rFont val="Arial Unicode MS"/>
      </rPr>
      <t>836.  254. 0.066</t>
    </r>
    <r>
      <rPr>
        <u/>
        <sz val="10"/>
        <color theme="1"/>
        <rFont val="Arial Unicode MS"/>
      </rPr>
      <t>3</t>
    </r>
  </si>
  <si>
    <r>
      <t xml:space="preserve"> 4 X1000   </t>
    </r>
    <r>
      <rPr>
        <u/>
        <sz val="10"/>
        <color theme="1"/>
        <rFont val="Arial Unicode MS"/>
      </rPr>
      <t>4</t>
    </r>
    <r>
      <rPr>
        <sz val="10"/>
        <color theme="1"/>
        <rFont val="Arial Unicode MS"/>
      </rPr>
      <t>090.  272. 0.066</t>
    </r>
    <r>
      <rPr>
        <u/>
        <sz val="10"/>
        <color theme="1"/>
        <rFont val="Arial Unicode MS"/>
      </rPr>
      <t>5</t>
    </r>
  </si>
  <si>
    <r>
      <t xml:space="preserve"> 5 X1150   </t>
    </r>
    <r>
      <rPr>
        <u/>
        <sz val="10"/>
        <color theme="1"/>
        <rFont val="Arial Unicode MS"/>
      </rPr>
      <t>3</t>
    </r>
    <r>
      <rPr>
        <sz val="10"/>
        <color theme="1"/>
        <rFont val="Arial Unicode MS"/>
      </rPr>
      <t>875   299. 0.077</t>
    </r>
    <r>
      <rPr>
        <u/>
        <sz val="10"/>
        <color theme="1"/>
        <rFont val="Arial Unicode MS"/>
      </rPr>
      <t>2</t>
    </r>
  </si>
  <si>
    <r>
      <t xml:space="preserve"> 6 X1050   </t>
    </r>
    <r>
      <rPr>
        <u/>
        <sz val="10"/>
        <color theme="1"/>
        <rFont val="Arial Unicode MS"/>
      </rPr>
      <t>4</t>
    </r>
    <r>
      <rPr>
        <sz val="10"/>
        <color theme="1"/>
        <rFont val="Arial Unicode MS"/>
      </rPr>
      <t>024.  328. 0.081</t>
    </r>
    <r>
      <rPr>
        <u/>
        <sz val="10"/>
        <color theme="1"/>
        <rFont val="Arial Unicode MS"/>
      </rPr>
      <t>6</t>
    </r>
  </si>
  <si>
    <r>
      <t xml:space="preserve"> 7 X1100   </t>
    </r>
    <r>
      <rPr>
        <u/>
        <sz val="10"/>
        <color theme="1"/>
        <rFont val="Arial Unicode MS"/>
      </rPr>
      <t>3</t>
    </r>
    <r>
      <rPr>
        <sz val="10"/>
        <color theme="1"/>
        <rFont val="Arial Unicode MS"/>
      </rPr>
      <t>957.  341. 0.086</t>
    </r>
    <r>
      <rPr>
        <u/>
        <sz val="10"/>
        <color theme="1"/>
        <rFont val="Arial Unicode MS"/>
      </rPr>
      <t>3</t>
    </r>
  </si>
  <si>
    <r>
      <t xml:space="preserve"> 8 X1250   </t>
    </r>
    <r>
      <rPr>
        <u/>
        <sz val="10"/>
        <color theme="1"/>
        <rFont val="Arial Unicode MS"/>
      </rPr>
      <t>3</t>
    </r>
    <r>
      <rPr>
        <sz val="10"/>
        <color theme="1"/>
        <rFont val="Arial Unicode MS"/>
      </rPr>
      <t>803   342. 0.089</t>
    </r>
    <r>
      <rPr>
        <u/>
        <sz val="10"/>
        <color theme="1"/>
        <rFont val="Arial Unicode MS"/>
      </rPr>
      <t>9</t>
    </r>
  </si>
  <si>
    <r>
      <t xml:space="preserve"> 9 X850    </t>
    </r>
    <r>
      <rPr>
        <u/>
        <sz val="10"/>
        <color theme="1"/>
        <rFont val="Arial Unicode MS"/>
      </rPr>
      <t>3</t>
    </r>
    <r>
      <rPr>
        <sz val="10"/>
        <color theme="1"/>
        <rFont val="Arial Unicode MS"/>
      </rPr>
      <t xml:space="preserve">922.  396. 0.101 </t>
    </r>
  </si>
  <si>
    <r>
      <t xml:space="preserve">10 X800    </t>
    </r>
    <r>
      <rPr>
        <u/>
        <sz val="10"/>
        <color theme="1"/>
        <rFont val="Arial Unicode MS"/>
      </rPr>
      <t>3</t>
    </r>
    <r>
      <rPr>
        <sz val="10"/>
        <color theme="1"/>
        <rFont val="Arial Unicode MS"/>
      </rPr>
      <t xml:space="preserve">573.  528. 0.148 </t>
    </r>
  </si>
  <si>
    <r>
      <t xml:space="preserve">11 X950    </t>
    </r>
    <r>
      <rPr>
        <u/>
        <sz val="10"/>
        <color theme="1"/>
        <rFont val="Arial Unicode MS"/>
      </rPr>
      <t>4</t>
    </r>
    <r>
      <rPr>
        <sz val="10"/>
        <color theme="1"/>
        <rFont val="Arial Unicode MS"/>
      </rPr>
      <t xml:space="preserve">462. </t>
    </r>
    <r>
      <rPr>
        <u/>
        <sz val="10"/>
        <color theme="1"/>
        <rFont val="Arial Unicode MS"/>
      </rPr>
      <t>1</t>
    </r>
    <r>
      <rPr>
        <sz val="10"/>
        <color theme="1"/>
        <rFont val="Arial Unicode MS"/>
      </rPr>
      <t xml:space="preserve">207. 0.270 </t>
    </r>
  </si>
  <si>
    <t>✅ Estadísticas para familia X900:</t>
  </si>
  <si>
    <t xml:space="preserve">Media: 4032.62 </t>
  </si>
  <si>
    <t xml:space="preserve">Desviación estándar: 180.49 </t>
  </si>
  <si>
    <t xml:space="preserve">Coeficiente de variación (CV): 0.0448 </t>
  </si>
  <si>
    <t>🏆 Mejor WF dentro de X900:</t>
  </si>
  <si>
    <t xml:space="preserve">  Experimento Envio Ganancia Familia</t>
  </si>
  <si>
    <t>1     WF63156   900     4160    X900</t>
  </si>
  <si>
    <t>[1] "📈 Mejor Experimento (óptimo rendimiento y baja dispersión):"</t>
  </si>
  <si>
    <t># A tibble: 1 × 5</t>
  </si>
  <si>
    <t xml:space="preserve">  Experimento Ganancia_Media Desviacion_STD Coef_Variacion Ratio_Ganancia_CV</t>
  </si>
  <si>
    <r>
      <t xml:space="preserve">  </t>
    </r>
    <r>
      <rPr>
        <i/>
        <sz val="10"/>
        <color theme="1"/>
        <rFont val="Arial Unicode MS"/>
      </rPr>
      <t>&lt;chr&gt;</t>
    </r>
    <r>
      <rPr>
        <sz val="10"/>
        <color theme="1"/>
        <rFont val="Arial Unicode MS"/>
      </rPr>
      <t xml:space="preserve">                </t>
    </r>
    <r>
      <rPr>
        <i/>
        <sz val="10"/>
        <color theme="1"/>
        <rFont val="Arial Unicode MS"/>
      </rPr>
      <t>&lt;dbl&gt;</t>
    </r>
    <r>
      <rPr>
        <sz val="10"/>
        <color theme="1"/>
        <rFont val="Arial Unicode MS"/>
      </rPr>
      <t xml:space="preserve">          </t>
    </r>
    <r>
      <rPr>
        <i/>
        <sz val="10"/>
        <color theme="1"/>
        <rFont val="Arial Unicode MS"/>
      </rPr>
      <t>&lt;dbl&gt;</t>
    </r>
    <r>
      <rPr>
        <sz val="10"/>
        <color theme="1"/>
        <rFont val="Arial Unicode MS"/>
      </rPr>
      <t xml:space="preserve">          </t>
    </r>
    <r>
      <rPr>
        <i/>
        <sz val="10"/>
        <color theme="1"/>
        <rFont val="Arial Unicode MS"/>
      </rPr>
      <t>&lt;dbl&gt;</t>
    </r>
    <r>
      <rPr>
        <sz val="10"/>
        <color theme="1"/>
        <rFont val="Arial Unicode MS"/>
      </rPr>
      <t xml:space="preserve">             </t>
    </r>
    <r>
      <rPr>
        <i/>
        <sz val="10"/>
        <color theme="1"/>
        <rFont val="Arial Unicode MS"/>
      </rPr>
      <t>&lt;dbl&gt;</t>
    </r>
  </si>
  <si>
    <r>
      <t xml:space="preserve">1 WF63151              </t>
    </r>
    <r>
      <rPr>
        <u/>
        <sz val="10"/>
        <color theme="1"/>
        <rFont val="Arial Unicode MS"/>
      </rPr>
      <t>4</t>
    </r>
    <r>
      <rPr>
        <sz val="10"/>
        <color theme="1"/>
        <rFont val="Arial Unicode MS"/>
      </rPr>
      <t>044.           261.           6.46              626.</t>
    </r>
  </si>
  <si>
    <t># A tibble: 8 × 5</t>
  </si>
  <si>
    <r>
      <t xml:space="preserve">2 WF63153              </t>
    </r>
    <r>
      <rPr>
        <u/>
        <sz val="10"/>
        <color theme="1"/>
        <rFont val="Arial Unicode MS"/>
      </rPr>
      <t>4</t>
    </r>
    <r>
      <rPr>
        <sz val="10"/>
        <color theme="1"/>
        <rFont val="Arial Unicode MS"/>
      </rPr>
      <t xml:space="preserve">382.          </t>
    </r>
    <r>
      <rPr>
        <u/>
        <sz val="10"/>
        <color theme="1"/>
        <rFont val="Arial Unicode MS"/>
      </rPr>
      <t>1</t>
    </r>
    <r>
      <rPr>
        <sz val="10"/>
        <color theme="1"/>
        <rFont val="Arial Unicode MS"/>
      </rPr>
      <t>029.          23.5               187.</t>
    </r>
  </si>
  <si>
    <r>
      <t xml:space="preserve">3 WF63154              </t>
    </r>
    <r>
      <rPr>
        <u/>
        <sz val="10"/>
        <color theme="1"/>
        <rFont val="Arial Unicode MS"/>
      </rPr>
      <t>3</t>
    </r>
    <r>
      <rPr>
        <sz val="10"/>
        <color theme="1"/>
        <rFont val="Arial Unicode MS"/>
      </rPr>
      <t>621.           244.           6.75              537.</t>
    </r>
  </si>
  <si>
    <r>
      <t xml:space="preserve">4 WF63155              </t>
    </r>
    <r>
      <rPr>
        <u/>
        <sz val="10"/>
        <color theme="1"/>
        <rFont val="Arial Unicode MS"/>
      </rPr>
      <t>4</t>
    </r>
    <r>
      <rPr>
        <sz val="10"/>
        <color theme="1"/>
        <rFont val="Arial Unicode MS"/>
      </rPr>
      <t>036.           289.           7.16              564.</t>
    </r>
  </si>
  <si>
    <r>
      <t xml:space="preserve">5 WF63156              </t>
    </r>
    <r>
      <rPr>
        <u/>
        <sz val="10"/>
        <color theme="1"/>
        <rFont val="Arial Unicode MS"/>
      </rPr>
      <t>3</t>
    </r>
    <r>
      <rPr>
        <sz val="10"/>
        <color theme="1"/>
        <rFont val="Arial Unicode MS"/>
      </rPr>
      <t>953.           271.           6.85              577.</t>
    </r>
  </si>
  <si>
    <r>
      <t xml:space="preserve">6 WF63157              </t>
    </r>
    <r>
      <rPr>
        <u/>
        <sz val="10"/>
        <color theme="1"/>
        <rFont val="Arial Unicode MS"/>
      </rPr>
      <t>4</t>
    </r>
    <r>
      <rPr>
        <sz val="10"/>
        <color theme="1"/>
        <rFont val="Arial Unicode MS"/>
      </rPr>
      <t>001.           268.           6.70              597.</t>
    </r>
  </si>
  <si>
    <r>
      <t xml:space="preserve">7 WF63158              </t>
    </r>
    <r>
      <rPr>
        <u/>
        <sz val="10"/>
        <color theme="1"/>
        <rFont val="Arial Unicode MS"/>
      </rPr>
      <t>3</t>
    </r>
    <r>
      <rPr>
        <sz val="10"/>
        <color theme="1"/>
        <rFont val="Arial Unicode MS"/>
      </rPr>
      <t>938.           251.           6.37              618.</t>
    </r>
  </si>
  <si>
    <r>
      <t xml:space="preserve">8 WF63159              </t>
    </r>
    <r>
      <rPr>
        <u/>
        <sz val="10"/>
        <color theme="1"/>
        <rFont val="Arial Unicode MS"/>
      </rPr>
      <t>3</t>
    </r>
    <r>
      <rPr>
        <sz val="10"/>
        <color theme="1"/>
        <rFont val="Arial Unicode MS"/>
      </rPr>
      <t>576.           447.          12.5               286.</t>
    </r>
  </si>
  <si>
    <t>[1] "📦 Mejor Envío dentro del experimento óptimo:"</t>
  </si>
  <si>
    <t xml:space="preserve">  Experimento Ganancia Envio Distancia_a_la_Media</t>
  </si>
  <si>
    <t>1     WF63151     3982   950             62.09091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</si>
</sst>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4">
    <font>
      <sz val="11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i/>
      <sz val="10"/>
      <color theme="1"/>
      <name val="Arial Unicode MS"/>
    </font>
    <font>
      <u/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2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0" fillId="0" borderId="5" xfId="0" applyBorder="1" applyAlignment="1">
      <alignment horizontal="right"/>
    </xf>
    <xf numFmtId="0" fontId="7" fillId="3" borderId="5" xfId="0" applyFont="1" applyFill="1" applyBorder="1" applyAlignment="1">
      <alignment horizontal="right"/>
    </xf>
    <xf numFmtId="0" fontId="0" fillId="0" borderId="5" xfId="0" applyBorder="1"/>
    <xf numFmtId="0" fontId="7" fillId="3" borderId="6" xfId="0" applyFont="1" applyFill="1" applyBorder="1" applyAlignment="1">
      <alignment horizontal="right"/>
    </xf>
    <xf numFmtId="0" fontId="0" fillId="0" borderId="7" xfId="0" applyBorder="1"/>
    <xf numFmtId="0" fontId="0" fillId="0" borderId="8" xfId="0" applyBorder="1" applyAlignment="1">
      <alignment horizontal="right"/>
    </xf>
    <xf numFmtId="164" fontId="0" fillId="0" borderId="5" xfId="0" applyNumberFormat="1" applyBorder="1" applyAlignment="1">
      <alignment horizontal="right"/>
    </xf>
    <xf numFmtId="0" fontId="0" fillId="0" borderId="9" xfId="0" applyBorder="1"/>
    <xf numFmtId="0" fontId="8" fillId="0" borderId="9" xfId="0" applyFont="1" applyBorder="1"/>
    <xf numFmtId="164" fontId="0" fillId="0" borderId="2" xfId="0" applyNumberFormat="1" applyBorder="1"/>
    <xf numFmtId="0" fontId="0" fillId="0" borderId="10" xfId="0" applyBorder="1"/>
    <xf numFmtId="0" fontId="0" fillId="0" borderId="2" xfId="0" applyBorder="1"/>
    <xf numFmtId="0" fontId="2" fillId="5" borderId="11" xfId="0" applyFont="1" applyFill="1" applyBorder="1"/>
    <xf numFmtId="46" fontId="2" fillId="5" borderId="12" xfId="0" applyNumberFormat="1" applyFont="1" applyFill="1" applyBorder="1"/>
    <xf numFmtId="0" fontId="2" fillId="7" borderId="11" xfId="0" applyFont="1" applyFill="1" applyBorder="1"/>
    <xf numFmtId="0" fontId="2" fillId="7" borderId="12" xfId="0" applyFont="1" applyFill="1" applyBorder="1"/>
    <xf numFmtId="0" fontId="0" fillId="0" borderId="13" xfId="0" applyBorder="1"/>
    <xf numFmtId="164" fontId="0" fillId="0" borderId="14" xfId="0" applyNumberFormat="1" applyBorder="1"/>
    <xf numFmtId="0" fontId="9" fillId="3" borderId="15" xfId="0" applyFont="1" applyFill="1" applyBorder="1"/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0" borderId="16" xfId="0" applyBorder="1"/>
    <xf numFmtId="164" fontId="0" fillId="0" borderId="17" xfId="0" applyNumberFormat="1" applyBorder="1"/>
    <xf numFmtId="0" fontId="0" fillId="0" borderId="18" xfId="0" applyBorder="1"/>
    <xf numFmtId="0" fontId="8" fillId="0" borderId="19" xfId="0" applyFont="1" applyBorder="1"/>
    <xf numFmtId="0" fontId="0" fillId="0" borderId="1" xfId="0" applyBorder="1"/>
    <xf numFmtId="3" fontId="0" fillId="0" borderId="5" xfId="0" applyNumberFormat="1" applyBorder="1" applyAlignment="1">
      <alignment horizontal="right"/>
    </xf>
    <xf numFmtId="3" fontId="0" fillId="0" borderId="2" xfId="0" applyNumberFormat="1" applyBorder="1"/>
    <xf numFmtId="3" fontId="0" fillId="0" borderId="17" xfId="0" applyNumberFormat="1" applyBorder="1"/>
    <xf numFmtId="3" fontId="0" fillId="0" borderId="14" xfId="0" applyNumberFormat="1" applyBorder="1"/>
    <xf numFmtId="3" fontId="0" fillId="0" borderId="0" xfId="0" applyNumberFormat="1"/>
    <xf numFmtId="3" fontId="0" fillId="0" borderId="13" xfId="0" applyNumberFormat="1" applyBorder="1"/>
    <xf numFmtId="3" fontId="0" fillId="0" borderId="20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0" fillId="0" borderId="1" xfId="0" applyNumberFormat="1" applyBorder="1"/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3" fontId="0" fillId="0" borderId="18" xfId="0" applyNumberFormat="1" applyBorder="1" applyAlignment="1">
      <alignment horizontal="center" vertical="center"/>
    </xf>
    <xf numFmtId="0" fontId="1" fillId="2" borderId="2" xfId="0" applyFont="1" applyFill="1" applyBorder="1"/>
    <xf numFmtId="0" fontId="0" fillId="4" borderId="2" xfId="0" applyFill="1" applyBorder="1"/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0" fillId="4" borderId="13" xfId="0" applyFill="1" applyBorder="1"/>
    <xf numFmtId="3" fontId="2" fillId="5" borderId="12" xfId="0" applyNumberFormat="1" applyFont="1" applyFill="1" applyBorder="1"/>
    <xf numFmtId="3" fontId="2" fillId="7" borderId="12" xfId="0" applyNumberFormat="1" applyFont="1" applyFill="1" applyBorder="1"/>
    <xf numFmtId="0" fontId="0" fillId="0" borderId="24" xfId="0" applyBorder="1" applyAlignment="1">
      <alignment vertical="center"/>
    </xf>
    <xf numFmtId="3" fontId="7" fillId="3" borderId="17" xfId="0" applyNumberFormat="1" applyFont="1" applyFill="1" applyBorder="1" applyAlignment="1">
      <alignment horizontal="right"/>
    </xf>
    <xf numFmtId="0" fontId="0" fillId="0" borderId="25" xfId="0" applyBorder="1" applyAlignment="1">
      <alignment horizontal="right"/>
    </xf>
    <xf numFmtId="0" fontId="0" fillId="6" borderId="2" xfId="0" applyFill="1" applyBorder="1"/>
    <xf numFmtId="0" fontId="0" fillId="6" borderId="13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20" xfId="0" applyBorder="1" applyAlignment="1">
      <alignment vertical="center"/>
    </xf>
    <xf numFmtId="0" fontId="0" fillId="0" borderId="19" xfId="0" applyBorder="1"/>
    <xf numFmtId="0" fontId="0" fillId="0" borderId="27" xfId="0" applyBorder="1"/>
    <xf numFmtId="164" fontId="0" fillId="0" borderId="16" xfId="0" applyNumberFormat="1" applyBorder="1"/>
    <xf numFmtId="0" fontId="0" fillId="0" borderId="26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2" xfId="0" applyBorder="1"/>
    <xf numFmtId="46" fontId="2" fillId="5" borderId="12" xfId="0" applyNumberFormat="1" applyFont="1" applyFill="1" applyBorder="1" applyAlignment="1">
      <alignment horizontal="right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38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C05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C05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C05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C05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C057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C057"/>
        </patternFill>
      </fill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none">
          <fgColor indexed="64"/>
          <bgColor indexed="6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none">
          <fgColor indexed="64"/>
          <bgColor indexed="65"/>
        </patternFill>
      </fill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'Datos Modelo Baseline'!$I$1</c:f>
              <c:strCache>
                <c:ptCount val="1"/>
                <c:pt idx="0">
                  <c:v>Envio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'Datos Modelo Baseline'!$G$2:$G$56</c:f>
              <c:strCache>
                <c:ptCount val="55"/>
                <c:pt idx="0">
                  <c:v>WF6300</c:v>
                </c:pt>
                <c:pt idx="1">
                  <c:v>WF6300</c:v>
                </c:pt>
                <c:pt idx="2">
                  <c:v>WF6300</c:v>
                </c:pt>
                <c:pt idx="3">
                  <c:v>WF6300</c:v>
                </c:pt>
                <c:pt idx="4">
                  <c:v>WF6300</c:v>
                </c:pt>
                <c:pt idx="5">
                  <c:v>WF6300</c:v>
                </c:pt>
                <c:pt idx="6">
                  <c:v>WF6300</c:v>
                </c:pt>
                <c:pt idx="7">
                  <c:v>WF6300</c:v>
                </c:pt>
                <c:pt idx="8">
                  <c:v>WF6300</c:v>
                </c:pt>
                <c:pt idx="9">
                  <c:v>WF6300</c:v>
                </c:pt>
                <c:pt idx="10">
                  <c:v>WF6300</c:v>
                </c:pt>
                <c:pt idx="11">
                  <c:v>WF6301</c:v>
                </c:pt>
                <c:pt idx="12">
                  <c:v>WF6301</c:v>
                </c:pt>
                <c:pt idx="13">
                  <c:v>WF6301</c:v>
                </c:pt>
                <c:pt idx="14">
                  <c:v>WF6301</c:v>
                </c:pt>
                <c:pt idx="15">
                  <c:v>WF6301</c:v>
                </c:pt>
                <c:pt idx="16">
                  <c:v>WF6301</c:v>
                </c:pt>
                <c:pt idx="17">
                  <c:v>WF6301</c:v>
                </c:pt>
                <c:pt idx="18">
                  <c:v>WF6301</c:v>
                </c:pt>
                <c:pt idx="19">
                  <c:v>WF6301</c:v>
                </c:pt>
                <c:pt idx="20">
                  <c:v>WF6301</c:v>
                </c:pt>
                <c:pt idx="21">
                  <c:v>WF6301</c:v>
                </c:pt>
                <c:pt idx="22">
                  <c:v>WF6302</c:v>
                </c:pt>
                <c:pt idx="23">
                  <c:v>WF6302</c:v>
                </c:pt>
                <c:pt idx="24">
                  <c:v>WF6302</c:v>
                </c:pt>
                <c:pt idx="25">
                  <c:v>WF6302</c:v>
                </c:pt>
                <c:pt idx="26">
                  <c:v>WF6302</c:v>
                </c:pt>
                <c:pt idx="27">
                  <c:v>WF6302</c:v>
                </c:pt>
                <c:pt idx="28">
                  <c:v>WF6302</c:v>
                </c:pt>
                <c:pt idx="29">
                  <c:v>WF6302</c:v>
                </c:pt>
                <c:pt idx="30">
                  <c:v>WF6302</c:v>
                </c:pt>
                <c:pt idx="31">
                  <c:v>WF6302</c:v>
                </c:pt>
                <c:pt idx="32">
                  <c:v>WF6302</c:v>
                </c:pt>
                <c:pt idx="33">
                  <c:v>WF6303</c:v>
                </c:pt>
                <c:pt idx="34">
                  <c:v>WF6303</c:v>
                </c:pt>
                <c:pt idx="35">
                  <c:v>WF6303</c:v>
                </c:pt>
                <c:pt idx="36">
                  <c:v>WF6303</c:v>
                </c:pt>
                <c:pt idx="37">
                  <c:v>WF6303</c:v>
                </c:pt>
                <c:pt idx="38">
                  <c:v>WF6303</c:v>
                </c:pt>
                <c:pt idx="39">
                  <c:v>WF6303</c:v>
                </c:pt>
                <c:pt idx="40">
                  <c:v>WF6303</c:v>
                </c:pt>
                <c:pt idx="41">
                  <c:v>WF6303</c:v>
                </c:pt>
                <c:pt idx="42">
                  <c:v>WF6303</c:v>
                </c:pt>
                <c:pt idx="43">
                  <c:v>WF6303</c:v>
                </c:pt>
                <c:pt idx="44">
                  <c:v>WF6304</c:v>
                </c:pt>
                <c:pt idx="45">
                  <c:v>WF6304</c:v>
                </c:pt>
                <c:pt idx="46">
                  <c:v>WF6304</c:v>
                </c:pt>
                <c:pt idx="47">
                  <c:v>WF6304</c:v>
                </c:pt>
                <c:pt idx="48">
                  <c:v>WF6304</c:v>
                </c:pt>
                <c:pt idx="49">
                  <c:v>WF6304</c:v>
                </c:pt>
                <c:pt idx="50">
                  <c:v>WF6304</c:v>
                </c:pt>
                <c:pt idx="51">
                  <c:v>WF6304</c:v>
                </c:pt>
                <c:pt idx="52">
                  <c:v>WF6304</c:v>
                </c:pt>
                <c:pt idx="53">
                  <c:v>WF6304</c:v>
                </c:pt>
                <c:pt idx="54">
                  <c:v>WF6304</c:v>
                </c:pt>
              </c:strCache>
            </c:strRef>
          </c:cat>
          <c:val>
            <c:numRef>
              <c:f>'Datos Modelo Baseline'!$I$2:$I$56</c:f>
              <c:numCache>
                <c:formatCode>General</c:formatCode>
                <c:ptCount val="55"/>
                <c:pt idx="0">
                  <c:v>800</c:v>
                </c:pt>
                <c:pt idx="1">
                  <c:v>850</c:v>
                </c:pt>
                <c:pt idx="2">
                  <c:v>900</c:v>
                </c:pt>
                <c:pt idx="3">
                  <c:v>950</c:v>
                </c:pt>
                <c:pt idx="4">
                  <c:v>1000</c:v>
                </c:pt>
                <c:pt idx="5">
                  <c:v>1050</c:v>
                </c:pt>
                <c:pt idx="6">
                  <c:v>1100</c:v>
                </c:pt>
                <c:pt idx="7">
                  <c:v>1150</c:v>
                </c:pt>
                <c:pt idx="8">
                  <c:v>1200</c:v>
                </c:pt>
                <c:pt idx="9">
                  <c:v>1250</c:v>
                </c:pt>
                <c:pt idx="10">
                  <c:v>1300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800</c:v>
                </c:pt>
                <c:pt idx="23">
                  <c:v>850</c:v>
                </c:pt>
                <c:pt idx="24">
                  <c:v>900</c:v>
                </c:pt>
                <c:pt idx="25">
                  <c:v>950</c:v>
                </c:pt>
                <c:pt idx="26">
                  <c:v>1000</c:v>
                </c:pt>
                <c:pt idx="27">
                  <c:v>1050</c:v>
                </c:pt>
                <c:pt idx="28">
                  <c:v>1100</c:v>
                </c:pt>
                <c:pt idx="29">
                  <c:v>1150</c:v>
                </c:pt>
                <c:pt idx="30">
                  <c:v>1200</c:v>
                </c:pt>
                <c:pt idx="31">
                  <c:v>1250</c:v>
                </c:pt>
                <c:pt idx="32">
                  <c:v>1300</c:v>
                </c:pt>
                <c:pt idx="33">
                  <c:v>800</c:v>
                </c:pt>
                <c:pt idx="34">
                  <c:v>850</c:v>
                </c:pt>
                <c:pt idx="35">
                  <c:v>900</c:v>
                </c:pt>
                <c:pt idx="36">
                  <c:v>950</c:v>
                </c:pt>
                <c:pt idx="37">
                  <c:v>1000</c:v>
                </c:pt>
                <c:pt idx="38">
                  <c:v>1050</c:v>
                </c:pt>
                <c:pt idx="39">
                  <c:v>1100</c:v>
                </c:pt>
                <c:pt idx="40">
                  <c:v>1150</c:v>
                </c:pt>
                <c:pt idx="41">
                  <c:v>1200</c:v>
                </c:pt>
                <c:pt idx="42">
                  <c:v>1250</c:v>
                </c:pt>
                <c:pt idx="43">
                  <c:v>1300</c:v>
                </c:pt>
                <c:pt idx="44">
                  <c:v>800</c:v>
                </c:pt>
                <c:pt idx="45">
                  <c:v>850</c:v>
                </c:pt>
                <c:pt idx="46">
                  <c:v>900</c:v>
                </c:pt>
                <c:pt idx="47">
                  <c:v>950</c:v>
                </c:pt>
                <c:pt idx="48">
                  <c:v>1000</c:v>
                </c:pt>
                <c:pt idx="49">
                  <c:v>1050</c:v>
                </c:pt>
                <c:pt idx="50">
                  <c:v>1100</c:v>
                </c:pt>
                <c:pt idx="51">
                  <c:v>1150</c:v>
                </c:pt>
                <c:pt idx="52">
                  <c:v>1200</c:v>
                </c:pt>
                <c:pt idx="53">
                  <c:v>1250</c:v>
                </c:pt>
                <c:pt idx="54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18-4364-9564-30671189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0474591"/>
        <c:axId val="1344184639"/>
      </c:barChart>
      <c:lineChart>
        <c:grouping val="standard"/>
        <c:varyColors val="0"/>
        <c:ser>
          <c:idx val="0"/>
          <c:order val="0"/>
          <c:tx>
            <c:strRef>
              <c:f>'Datos Modelo Baseline'!$H$1</c:f>
              <c:strCache>
                <c:ptCount val="1"/>
                <c:pt idx="0">
                  <c:v>Ganancia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'Datos Modelo Baseline'!$G$2:$G$56</c:f>
              <c:strCache>
                <c:ptCount val="55"/>
                <c:pt idx="0">
                  <c:v>WF6300</c:v>
                </c:pt>
                <c:pt idx="1">
                  <c:v>WF6300</c:v>
                </c:pt>
                <c:pt idx="2">
                  <c:v>WF6300</c:v>
                </c:pt>
                <c:pt idx="3">
                  <c:v>WF6300</c:v>
                </c:pt>
                <c:pt idx="4">
                  <c:v>WF6300</c:v>
                </c:pt>
                <c:pt idx="5">
                  <c:v>WF6300</c:v>
                </c:pt>
                <c:pt idx="6">
                  <c:v>WF6300</c:v>
                </c:pt>
                <c:pt idx="7">
                  <c:v>WF6300</c:v>
                </c:pt>
                <c:pt idx="8">
                  <c:v>WF6300</c:v>
                </c:pt>
                <c:pt idx="9">
                  <c:v>WF6300</c:v>
                </c:pt>
                <c:pt idx="10">
                  <c:v>WF6300</c:v>
                </c:pt>
                <c:pt idx="11">
                  <c:v>WF6301</c:v>
                </c:pt>
                <c:pt idx="12">
                  <c:v>WF6301</c:v>
                </c:pt>
                <c:pt idx="13">
                  <c:v>WF6301</c:v>
                </c:pt>
                <c:pt idx="14">
                  <c:v>WF6301</c:v>
                </c:pt>
                <c:pt idx="15">
                  <c:v>WF6301</c:v>
                </c:pt>
                <c:pt idx="16">
                  <c:v>WF6301</c:v>
                </c:pt>
                <c:pt idx="17">
                  <c:v>WF6301</c:v>
                </c:pt>
                <c:pt idx="18">
                  <c:v>WF6301</c:v>
                </c:pt>
                <c:pt idx="19">
                  <c:v>WF6301</c:v>
                </c:pt>
                <c:pt idx="20">
                  <c:v>WF6301</c:v>
                </c:pt>
                <c:pt idx="21">
                  <c:v>WF6301</c:v>
                </c:pt>
                <c:pt idx="22">
                  <c:v>WF6302</c:v>
                </c:pt>
                <c:pt idx="23">
                  <c:v>WF6302</c:v>
                </c:pt>
                <c:pt idx="24">
                  <c:v>WF6302</c:v>
                </c:pt>
                <c:pt idx="25">
                  <c:v>WF6302</c:v>
                </c:pt>
                <c:pt idx="26">
                  <c:v>WF6302</c:v>
                </c:pt>
                <c:pt idx="27">
                  <c:v>WF6302</c:v>
                </c:pt>
                <c:pt idx="28">
                  <c:v>WF6302</c:v>
                </c:pt>
                <c:pt idx="29">
                  <c:v>WF6302</c:v>
                </c:pt>
                <c:pt idx="30">
                  <c:v>WF6302</c:v>
                </c:pt>
                <c:pt idx="31">
                  <c:v>WF6302</c:v>
                </c:pt>
                <c:pt idx="32">
                  <c:v>WF6302</c:v>
                </c:pt>
                <c:pt idx="33">
                  <c:v>WF6303</c:v>
                </c:pt>
                <c:pt idx="34">
                  <c:v>WF6303</c:v>
                </c:pt>
                <c:pt idx="35">
                  <c:v>WF6303</c:v>
                </c:pt>
                <c:pt idx="36">
                  <c:v>WF6303</c:v>
                </c:pt>
                <c:pt idx="37">
                  <c:v>WF6303</c:v>
                </c:pt>
                <c:pt idx="38">
                  <c:v>WF6303</c:v>
                </c:pt>
                <c:pt idx="39">
                  <c:v>WF6303</c:v>
                </c:pt>
                <c:pt idx="40">
                  <c:v>WF6303</c:v>
                </c:pt>
                <c:pt idx="41">
                  <c:v>WF6303</c:v>
                </c:pt>
                <c:pt idx="42">
                  <c:v>WF6303</c:v>
                </c:pt>
                <c:pt idx="43">
                  <c:v>WF6303</c:v>
                </c:pt>
                <c:pt idx="44">
                  <c:v>WF6304</c:v>
                </c:pt>
                <c:pt idx="45">
                  <c:v>WF6304</c:v>
                </c:pt>
                <c:pt idx="46">
                  <c:v>WF6304</c:v>
                </c:pt>
                <c:pt idx="47">
                  <c:v>WF6304</c:v>
                </c:pt>
                <c:pt idx="48">
                  <c:v>WF6304</c:v>
                </c:pt>
                <c:pt idx="49">
                  <c:v>WF6304</c:v>
                </c:pt>
                <c:pt idx="50">
                  <c:v>WF6304</c:v>
                </c:pt>
                <c:pt idx="51">
                  <c:v>WF6304</c:v>
                </c:pt>
                <c:pt idx="52">
                  <c:v>WF6304</c:v>
                </c:pt>
                <c:pt idx="53">
                  <c:v>WF6304</c:v>
                </c:pt>
                <c:pt idx="54">
                  <c:v>WF6304</c:v>
                </c:pt>
              </c:strCache>
            </c:strRef>
          </c:cat>
          <c:val>
            <c:numRef>
              <c:f>'Datos Modelo Baseline'!$H$2:$H$56</c:f>
              <c:numCache>
                <c:formatCode>#,##0</c:formatCode>
                <c:ptCount val="55"/>
                <c:pt idx="0">
                  <c:v>3634</c:v>
                </c:pt>
                <c:pt idx="1">
                  <c:v>3843</c:v>
                </c:pt>
                <c:pt idx="2">
                  <c:v>3654</c:v>
                </c:pt>
                <c:pt idx="3">
                  <c:v>3912</c:v>
                </c:pt>
                <c:pt idx="4">
                  <c:v>3723</c:v>
                </c:pt>
                <c:pt idx="5">
                  <c:v>3594</c:v>
                </c:pt>
                <c:pt idx="6">
                  <c:v>3485</c:v>
                </c:pt>
                <c:pt idx="7">
                  <c:v>3296</c:v>
                </c:pt>
                <c:pt idx="8">
                  <c:v>3148</c:v>
                </c:pt>
                <c:pt idx="9">
                  <c:v>3386</c:v>
                </c:pt>
                <c:pt idx="10">
                  <c:v>3267</c:v>
                </c:pt>
                <c:pt idx="11">
                  <c:v>3694</c:v>
                </c:pt>
                <c:pt idx="12">
                  <c:v>3932</c:v>
                </c:pt>
                <c:pt idx="13">
                  <c:v>4131</c:v>
                </c:pt>
                <c:pt idx="14">
                  <c:v>5144</c:v>
                </c:pt>
                <c:pt idx="15">
                  <c:v>5005</c:v>
                </c:pt>
                <c:pt idx="16">
                  <c:v>4836</c:v>
                </c:pt>
                <c:pt idx="17">
                  <c:v>4697</c:v>
                </c:pt>
                <c:pt idx="18">
                  <c:v>4518</c:v>
                </c:pt>
                <c:pt idx="19">
                  <c:v>4399</c:v>
                </c:pt>
                <c:pt idx="20">
                  <c:v>4230</c:v>
                </c:pt>
                <c:pt idx="21">
                  <c:v>4141</c:v>
                </c:pt>
                <c:pt idx="22">
                  <c:v>3287</c:v>
                </c:pt>
                <c:pt idx="23">
                  <c:v>3505</c:v>
                </c:pt>
                <c:pt idx="24">
                  <c:v>3316</c:v>
                </c:pt>
                <c:pt idx="25">
                  <c:v>3584</c:v>
                </c:pt>
                <c:pt idx="26">
                  <c:v>3435</c:v>
                </c:pt>
                <c:pt idx="27">
                  <c:v>3654</c:v>
                </c:pt>
                <c:pt idx="28">
                  <c:v>3932</c:v>
                </c:pt>
                <c:pt idx="29">
                  <c:v>4180</c:v>
                </c:pt>
                <c:pt idx="30">
                  <c:v>4041</c:v>
                </c:pt>
                <c:pt idx="31">
                  <c:v>3912</c:v>
                </c:pt>
                <c:pt idx="32">
                  <c:v>4180</c:v>
                </c:pt>
                <c:pt idx="33">
                  <c:v>4002</c:v>
                </c:pt>
                <c:pt idx="34">
                  <c:v>3813</c:v>
                </c:pt>
                <c:pt idx="35">
                  <c:v>4021</c:v>
                </c:pt>
                <c:pt idx="36">
                  <c:v>3902</c:v>
                </c:pt>
                <c:pt idx="37">
                  <c:v>3743</c:v>
                </c:pt>
                <c:pt idx="38">
                  <c:v>3654</c:v>
                </c:pt>
                <c:pt idx="39">
                  <c:v>3902</c:v>
                </c:pt>
                <c:pt idx="40">
                  <c:v>3723</c:v>
                </c:pt>
                <c:pt idx="41">
                  <c:v>3992</c:v>
                </c:pt>
                <c:pt idx="42">
                  <c:v>3853</c:v>
                </c:pt>
                <c:pt idx="43">
                  <c:v>3714</c:v>
                </c:pt>
                <c:pt idx="44">
                  <c:v>3674</c:v>
                </c:pt>
                <c:pt idx="45">
                  <c:v>3863</c:v>
                </c:pt>
                <c:pt idx="46">
                  <c:v>3723</c:v>
                </c:pt>
                <c:pt idx="47">
                  <c:v>3525</c:v>
                </c:pt>
                <c:pt idx="48">
                  <c:v>3376</c:v>
                </c:pt>
                <c:pt idx="49">
                  <c:v>3565</c:v>
                </c:pt>
                <c:pt idx="50">
                  <c:v>3843</c:v>
                </c:pt>
                <c:pt idx="51">
                  <c:v>3723</c:v>
                </c:pt>
                <c:pt idx="52">
                  <c:v>3555</c:v>
                </c:pt>
                <c:pt idx="53">
                  <c:v>3426</c:v>
                </c:pt>
                <c:pt idx="54">
                  <c:v>3237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18-4364-9564-30671189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0943120"/>
        <c:axId val="1720943600"/>
      </c:lineChart>
      <c:catAx>
        <c:axId val="172094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20943600"/>
        <c:crosses val="autoZero"/>
        <c:auto val="1"/>
        <c:lblAlgn val="ctr"/>
        <c:lblOffset val="100"/>
        <c:noMultiLvlLbl val="0"/>
      </c:catAx>
      <c:valAx>
        <c:axId val="172094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20943120"/>
        <c:crosses val="autoZero"/>
        <c:crossBetween val="between"/>
      </c:valAx>
      <c:valAx>
        <c:axId val="13441846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50474591"/>
        <c:crosses val="max"/>
        <c:crossBetween val="between"/>
      </c:valAx>
      <c:catAx>
        <c:axId val="18504745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418463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[Competencia Final Kaggle.xlsx]Datos Modelo Baseline!TablaDinámica16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Modelo Baseline'!$B$65:$B$66</c:f>
              <c:strCache>
                <c:ptCount val="1"/>
                <c:pt idx="0">
                  <c:v>WF6300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Modelo Baseline'!$A$67:$A$78</c:f>
              <c:strCache>
                <c:ptCount val="11"/>
                <c:pt idx="0">
                  <c:v>800</c:v>
                </c:pt>
                <c:pt idx="1">
                  <c:v>850</c:v>
                </c:pt>
                <c:pt idx="2">
                  <c:v>900</c:v>
                </c:pt>
                <c:pt idx="3">
                  <c:v>950</c:v>
                </c:pt>
                <c:pt idx="4">
                  <c:v>1000</c:v>
                </c:pt>
                <c:pt idx="5">
                  <c:v>1050</c:v>
                </c:pt>
                <c:pt idx="6">
                  <c:v>1100</c:v>
                </c:pt>
                <c:pt idx="7">
                  <c:v>1150</c:v>
                </c:pt>
                <c:pt idx="8">
                  <c:v>1200</c:v>
                </c:pt>
                <c:pt idx="9">
                  <c:v>1250</c:v>
                </c:pt>
                <c:pt idx="10">
                  <c:v>1300</c:v>
                </c:pt>
              </c:strCache>
            </c:strRef>
          </c:cat>
          <c:val>
            <c:numRef>
              <c:f>'Datos Modelo Baseline'!$B$67:$B$78</c:f>
              <c:numCache>
                <c:formatCode>#,##0</c:formatCode>
                <c:ptCount val="11"/>
                <c:pt idx="0">
                  <c:v>3634</c:v>
                </c:pt>
                <c:pt idx="1">
                  <c:v>3843</c:v>
                </c:pt>
                <c:pt idx="2">
                  <c:v>3654</c:v>
                </c:pt>
                <c:pt idx="3">
                  <c:v>3912</c:v>
                </c:pt>
                <c:pt idx="4">
                  <c:v>3723</c:v>
                </c:pt>
                <c:pt idx="5">
                  <c:v>3594</c:v>
                </c:pt>
                <c:pt idx="6">
                  <c:v>3485</c:v>
                </c:pt>
                <c:pt idx="7">
                  <c:v>3296</c:v>
                </c:pt>
                <c:pt idx="8">
                  <c:v>3148</c:v>
                </c:pt>
                <c:pt idx="9">
                  <c:v>3386</c:v>
                </c:pt>
                <c:pt idx="10">
                  <c:v>3267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C-4010-B6BE-0B3EFD9CF1A8}"/>
            </c:ext>
          </c:extLst>
        </c:ser>
        <c:ser>
          <c:idx val="1"/>
          <c:order val="1"/>
          <c:tx>
            <c:strRef>
              <c:f>'Datos Modelo Baseline'!$C$65:$C$66</c:f>
              <c:strCache>
                <c:ptCount val="1"/>
                <c:pt idx="0">
                  <c:v>WF6301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'Datos Modelo Baseline'!$A$67:$A$78</c:f>
              <c:strCache>
                <c:ptCount val="11"/>
                <c:pt idx="0">
                  <c:v>800</c:v>
                </c:pt>
                <c:pt idx="1">
                  <c:v>850</c:v>
                </c:pt>
                <c:pt idx="2">
                  <c:v>900</c:v>
                </c:pt>
                <c:pt idx="3">
                  <c:v>950</c:v>
                </c:pt>
                <c:pt idx="4">
                  <c:v>1000</c:v>
                </c:pt>
                <c:pt idx="5">
                  <c:v>1050</c:v>
                </c:pt>
                <c:pt idx="6">
                  <c:v>1100</c:v>
                </c:pt>
                <c:pt idx="7">
                  <c:v>1150</c:v>
                </c:pt>
                <c:pt idx="8">
                  <c:v>1200</c:v>
                </c:pt>
                <c:pt idx="9">
                  <c:v>1250</c:v>
                </c:pt>
                <c:pt idx="10">
                  <c:v>1300</c:v>
                </c:pt>
              </c:strCache>
            </c:strRef>
          </c:cat>
          <c:val>
            <c:numRef>
              <c:f>'Datos Modelo Baseline'!$C$67:$C$78</c:f>
              <c:numCache>
                <c:formatCode>#,##0</c:formatCode>
                <c:ptCount val="11"/>
                <c:pt idx="0">
                  <c:v>3694</c:v>
                </c:pt>
                <c:pt idx="1">
                  <c:v>3932</c:v>
                </c:pt>
                <c:pt idx="2">
                  <c:v>4131</c:v>
                </c:pt>
                <c:pt idx="3">
                  <c:v>5144</c:v>
                </c:pt>
                <c:pt idx="4">
                  <c:v>5005</c:v>
                </c:pt>
                <c:pt idx="5">
                  <c:v>4836</c:v>
                </c:pt>
                <c:pt idx="6">
                  <c:v>4697</c:v>
                </c:pt>
                <c:pt idx="7">
                  <c:v>4518</c:v>
                </c:pt>
                <c:pt idx="8">
                  <c:v>4399</c:v>
                </c:pt>
                <c:pt idx="9">
                  <c:v>4230</c:v>
                </c:pt>
                <c:pt idx="10">
                  <c:v>4141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FBC-4010-B6BE-0B3EFD9CF1A8}"/>
            </c:ext>
          </c:extLst>
        </c:ser>
        <c:ser>
          <c:idx val="2"/>
          <c:order val="2"/>
          <c:tx>
            <c:strRef>
              <c:f>'Datos Modelo Baseline'!$D$65:$D$66</c:f>
              <c:strCache>
                <c:ptCount val="1"/>
                <c:pt idx="0">
                  <c:v>WF6302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'Datos Modelo Baseline'!$A$67:$A$78</c:f>
              <c:strCache>
                <c:ptCount val="11"/>
                <c:pt idx="0">
                  <c:v>800</c:v>
                </c:pt>
                <c:pt idx="1">
                  <c:v>850</c:v>
                </c:pt>
                <c:pt idx="2">
                  <c:v>900</c:v>
                </c:pt>
                <c:pt idx="3">
                  <c:v>950</c:v>
                </c:pt>
                <c:pt idx="4">
                  <c:v>1000</c:v>
                </c:pt>
                <c:pt idx="5">
                  <c:v>1050</c:v>
                </c:pt>
                <c:pt idx="6">
                  <c:v>1100</c:v>
                </c:pt>
                <c:pt idx="7">
                  <c:v>1150</c:v>
                </c:pt>
                <c:pt idx="8">
                  <c:v>1200</c:v>
                </c:pt>
                <c:pt idx="9">
                  <c:v>1250</c:v>
                </c:pt>
                <c:pt idx="10">
                  <c:v>1300</c:v>
                </c:pt>
              </c:strCache>
            </c:strRef>
          </c:cat>
          <c:val>
            <c:numRef>
              <c:f>'Datos Modelo Baseline'!$D$67:$D$78</c:f>
              <c:numCache>
                <c:formatCode>#,##0</c:formatCode>
                <c:ptCount val="11"/>
                <c:pt idx="0">
                  <c:v>3287</c:v>
                </c:pt>
                <c:pt idx="1">
                  <c:v>3505</c:v>
                </c:pt>
                <c:pt idx="2">
                  <c:v>3316</c:v>
                </c:pt>
                <c:pt idx="3">
                  <c:v>3584</c:v>
                </c:pt>
                <c:pt idx="4">
                  <c:v>3435</c:v>
                </c:pt>
                <c:pt idx="5">
                  <c:v>3654</c:v>
                </c:pt>
                <c:pt idx="6">
                  <c:v>3932</c:v>
                </c:pt>
                <c:pt idx="7">
                  <c:v>4180</c:v>
                </c:pt>
                <c:pt idx="8">
                  <c:v>4041</c:v>
                </c:pt>
                <c:pt idx="9">
                  <c:v>3912</c:v>
                </c:pt>
                <c:pt idx="10">
                  <c:v>4180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FBC-4010-B6BE-0B3EFD9CF1A8}"/>
            </c:ext>
          </c:extLst>
        </c:ser>
        <c:ser>
          <c:idx val="3"/>
          <c:order val="3"/>
          <c:tx>
            <c:strRef>
              <c:f>'Datos Modelo Baseline'!$E$65:$E$66</c:f>
              <c:strCache>
                <c:ptCount val="1"/>
                <c:pt idx="0">
                  <c:v>WF6303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'Datos Modelo Baseline'!$A$67:$A$78</c:f>
              <c:strCache>
                <c:ptCount val="11"/>
                <c:pt idx="0">
                  <c:v>800</c:v>
                </c:pt>
                <c:pt idx="1">
                  <c:v>850</c:v>
                </c:pt>
                <c:pt idx="2">
                  <c:v>900</c:v>
                </c:pt>
                <c:pt idx="3">
                  <c:v>950</c:v>
                </c:pt>
                <c:pt idx="4">
                  <c:v>1000</c:v>
                </c:pt>
                <c:pt idx="5">
                  <c:v>1050</c:v>
                </c:pt>
                <c:pt idx="6">
                  <c:v>1100</c:v>
                </c:pt>
                <c:pt idx="7">
                  <c:v>1150</c:v>
                </c:pt>
                <c:pt idx="8">
                  <c:v>1200</c:v>
                </c:pt>
                <c:pt idx="9">
                  <c:v>1250</c:v>
                </c:pt>
                <c:pt idx="10">
                  <c:v>1300</c:v>
                </c:pt>
              </c:strCache>
            </c:strRef>
          </c:cat>
          <c:val>
            <c:numRef>
              <c:f>'Datos Modelo Baseline'!$E$67:$E$78</c:f>
              <c:numCache>
                <c:formatCode>#,##0</c:formatCode>
                <c:ptCount val="11"/>
                <c:pt idx="0">
                  <c:v>4002</c:v>
                </c:pt>
                <c:pt idx="1">
                  <c:v>3813</c:v>
                </c:pt>
                <c:pt idx="2">
                  <c:v>4021</c:v>
                </c:pt>
                <c:pt idx="3">
                  <c:v>3902</c:v>
                </c:pt>
                <c:pt idx="4">
                  <c:v>3743</c:v>
                </c:pt>
                <c:pt idx="5">
                  <c:v>3654</c:v>
                </c:pt>
                <c:pt idx="6">
                  <c:v>3902</c:v>
                </c:pt>
                <c:pt idx="7">
                  <c:v>3723</c:v>
                </c:pt>
                <c:pt idx="8">
                  <c:v>3992</c:v>
                </c:pt>
                <c:pt idx="9">
                  <c:v>3853</c:v>
                </c:pt>
                <c:pt idx="10">
                  <c:v>3714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FBC-4010-B6BE-0B3EFD9CF1A8}"/>
            </c:ext>
          </c:extLst>
        </c:ser>
        <c:ser>
          <c:idx val="4"/>
          <c:order val="4"/>
          <c:tx>
            <c:strRef>
              <c:f>'Datos Modelo Baseline'!$F$65:$F$66</c:f>
              <c:strCache>
                <c:ptCount val="1"/>
                <c:pt idx="0">
                  <c:v>WF6304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'Datos Modelo Baseline'!$A$67:$A$78</c:f>
              <c:strCache>
                <c:ptCount val="11"/>
                <c:pt idx="0">
                  <c:v>800</c:v>
                </c:pt>
                <c:pt idx="1">
                  <c:v>850</c:v>
                </c:pt>
                <c:pt idx="2">
                  <c:v>900</c:v>
                </c:pt>
                <c:pt idx="3">
                  <c:v>950</c:v>
                </c:pt>
                <c:pt idx="4">
                  <c:v>1000</c:v>
                </c:pt>
                <c:pt idx="5">
                  <c:v>1050</c:v>
                </c:pt>
                <c:pt idx="6">
                  <c:v>1100</c:v>
                </c:pt>
                <c:pt idx="7">
                  <c:v>1150</c:v>
                </c:pt>
                <c:pt idx="8">
                  <c:v>1200</c:v>
                </c:pt>
                <c:pt idx="9">
                  <c:v>1250</c:v>
                </c:pt>
                <c:pt idx="10">
                  <c:v>1300</c:v>
                </c:pt>
              </c:strCache>
            </c:strRef>
          </c:cat>
          <c:val>
            <c:numRef>
              <c:f>'Datos Modelo Baseline'!$F$67:$F$78</c:f>
              <c:numCache>
                <c:formatCode>#,##0</c:formatCode>
                <c:ptCount val="11"/>
                <c:pt idx="0">
                  <c:v>3674</c:v>
                </c:pt>
                <c:pt idx="1">
                  <c:v>3863</c:v>
                </c:pt>
                <c:pt idx="2">
                  <c:v>3723</c:v>
                </c:pt>
                <c:pt idx="3">
                  <c:v>3525</c:v>
                </c:pt>
                <c:pt idx="4">
                  <c:v>3376</c:v>
                </c:pt>
                <c:pt idx="5">
                  <c:v>3565</c:v>
                </c:pt>
                <c:pt idx="6">
                  <c:v>3843</c:v>
                </c:pt>
                <c:pt idx="7">
                  <c:v>3723</c:v>
                </c:pt>
                <c:pt idx="8">
                  <c:v>3555</c:v>
                </c:pt>
                <c:pt idx="9">
                  <c:v>3426</c:v>
                </c:pt>
                <c:pt idx="10">
                  <c:v>3237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FBC-4010-B6BE-0B3EFD9CF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45299136"/>
        <c:axId val="1745287616"/>
      </c:barChart>
      <c:catAx>
        <c:axId val="174529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45287616"/>
        <c:crosses val="autoZero"/>
        <c:auto val="1"/>
        <c:lblAlgn val="ctr"/>
        <c:lblOffset val="100"/>
        <c:noMultiLvlLbl val="0"/>
      </c:catAx>
      <c:valAx>
        <c:axId val="174528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4529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[Competencia Final Kaggle.xlsx]Datos Modelo 1 Final!TablaDinámica19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Ganancia por experimento</a:t>
            </a:r>
            <a:r>
              <a:rPr lang="es-AR" baseline="0"/>
              <a:t> agrupada por envio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Modelo 1 Final'!$B$114:$B$115</c:f>
              <c:strCache>
                <c:ptCount val="1"/>
                <c:pt idx="0">
                  <c:v>WF63141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Modelo 1 Final'!$A$116:$A$127</c:f>
              <c:strCache>
                <c:ptCount val="11"/>
                <c:pt idx="0">
                  <c:v>800</c:v>
                </c:pt>
                <c:pt idx="1">
                  <c:v>850</c:v>
                </c:pt>
                <c:pt idx="2">
                  <c:v>900</c:v>
                </c:pt>
                <c:pt idx="3">
                  <c:v>950</c:v>
                </c:pt>
                <c:pt idx="4">
                  <c:v>1000</c:v>
                </c:pt>
                <c:pt idx="5">
                  <c:v>1050</c:v>
                </c:pt>
                <c:pt idx="6">
                  <c:v>1100</c:v>
                </c:pt>
                <c:pt idx="7">
                  <c:v>1150</c:v>
                </c:pt>
                <c:pt idx="8">
                  <c:v>1200</c:v>
                </c:pt>
                <c:pt idx="9">
                  <c:v>1250</c:v>
                </c:pt>
                <c:pt idx="10">
                  <c:v>1300</c:v>
                </c:pt>
              </c:strCache>
            </c:strRef>
          </c:cat>
          <c:val>
            <c:numRef>
              <c:f>'Datos Modelo 1 Final'!$B$116:$B$127</c:f>
              <c:numCache>
                <c:formatCode>General</c:formatCode>
                <c:ptCount val="11"/>
                <c:pt idx="0">
                  <c:v>3575</c:v>
                </c:pt>
                <c:pt idx="1">
                  <c:v>3406</c:v>
                </c:pt>
                <c:pt idx="2">
                  <c:v>4061</c:v>
                </c:pt>
                <c:pt idx="3">
                  <c:v>3942</c:v>
                </c:pt>
                <c:pt idx="4">
                  <c:v>3882</c:v>
                </c:pt>
                <c:pt idx="5">
                  <c:v>3753</c:v>
                </c:pt>
                <c:pt idx="6">
                  <c:v>3584</c:v>
                </c:pt>
                <c:pt idx="7">
                  <c:v>3435</c:v>
                </c:pt>
                <c:pt idx="8">
                  <c:v>3296</c:v>
                </c:pt>
                <c:pt idx="9">
                  <c:v>3217</c:v>
                </c:pt>
                <c:pt idx="10">
                  <c:v>3435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6-469C-8768-0610E7AA73A1}"/>
            </c:ext>
          </c:extLst>
        </c:ser>
        <c:ser>
          <c:idx val="1"/>
          <c:order val="1"/>
          <c:tx>
            <c:strRef>
              <c:f>'Datos Modelo 1 Final'!$C$114:$C$115</c:f>
              <c:strCache>
                <c:ptCount val="1"/>
                <c:pt idx="0">
                  <c:v>WF63142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'Datos Modelo 1 Final'!$A$116:$A$127</c:f>
              <c:strCache>
                <c:ptCount val="11"/>
                <c:pt idx="0">
                  <c:v>800</c:v>
                </c:pt>
                <c:pt idx="1">
                  <c:v>850</c:v>
                </c:pt>
                <c:pt idx="2">
                  <c:v>900</c:v>
                </c:pt>
                <c:pt idx="3">
                  <c:v>950</c:v>
                </c:pt>
                <c:pt idx="4">
                  <c:v>1000</c:v>
                </c:pt>
                <c:pt idx="5">
                  <c:v>1050</c:v>
                </c:pt>
                <c:pt idx="6">
                  <c:v>1100</c:v>
                </c:pt>
                <c:pt idx="7">
                  <c:v>1150</c:v>
                </c:pt>
                <c:pt idx="8">
                  <c:v>1200</c:v>
                </c:pt>
                <c:pt idx="9">
                  <c:v>1250</c:v>
                </c:pt>
                <c:pt idx="10">
                  <c:v>1300</c:v>
                </c:pt>
              </c:strCache>
            </c:strRef>
          </c:cat>
          <c:val>
            <c:numRef>
              <c:f>'Datos Modelo 1 Final'!$C$116:$C$127</c:f>
              <c:numCache>
                <c:formatCode>General</c:formatCode>
                <c:ptCount val="11"/>
                <c:pt idx="0">
                  <c:v>3157</c:v>
                </c:pt>
                <c:pt idx="1">
                  <c:v>3058</c:v>
                </c:pt>
                <c:pt idx="2">
                  <c:v>2919</c:v>
                </c:pt>
                <c:pt idx="3">
                  <c:v>3167</c:v>
                </c:pt>
                <c:pt idx="4">
                  <c:v>3078</c:v>
                </c:pt>
                <c:pt idx="5">
                  <c:v>3376</c:v>
                </c:pt>
                <c:pt idx="6">
                  <c:v>3634</c:v>
                </c:pt>
                <c:pt idx="7">
                  <c:v>3535</c:v>
                </c:pt>
                <c:pt idx="8">
                  <c:v>3376</c:v>
                </c:pt>
                <c:pt idx="9">
                  <c:v>3227</c:v>
                </c:pt>
                <c:pt idx="10">
                  <c:v>3038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DA6-469C-8768-0610E7AA73A1}"/>
            </c:ext>
          </c:extLst>
        </c:ser>
        <c:ser>
          <c:idx val="2"/>
          <c:order val="2"/>
          <c:tx>
            <c:strRef>
              <c:f>'Datos Modelo 1 Final'!$D$114:$D$115</c:f>
              <c:strCache>
                <c:ptCount val="1"/>
                <c:pt idx="0">
                  <c:v>WF63143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'Datos Modelo 1 Final'!$A$116:$A$127</c:f>
              <c:strCache>
                <c:ptCount val="11"/>
                <c:pt idx="0">
                  <c:v>800</c:v>
                </c:pt>
                <c:pt idx="1">
                  <c:v>850</c:v>
                </c:pt>
                <c:pt idx="2">
                  <c:v>900</c:v>
                </c:pt>
                <c:pt idx="3">
                  <c:v>950</c:v>
                </c:pt>
                <c:pt idx="4">
                  <c:v>1000</c:v>
                </c:pt>
                <c:pt idx="5">
                  <c:v>1050</c:v>
                </c:pt>
                <c:pt idx="6">
                  <c:v>1100</c:v>
                </c:pt>
                <c:pt idx="7">
                  <c:v>1150</c:v>
                </c:pt>
                <c:pt idx="8">
                  <c:v>1200</c:v>
                </c:pt>
                <c:pt idx="9">
                  <c:v>1250</c:v>
                </c:pt>
                <c:pt idx="10">
                  <c:v>1300</c:v>
                </c:pt>
              </c:strCache>
            </c:strRef>
          </c:cat>
          <c:val>
            <c:numRef>
              <c:f>'Datos Modelo 1 Final'!$D$116:$D$127</c:f>
              <c:numCache>
                <c:formatCode>General</c:formatCode>
                <c:ptCount val="11"/>
                <c:pt idx="0">
                  <c:v>2840</c:v>
                </c:pt>
                <c:pt idx="1">
                  <c:v>2671</c:v>
                </c:pt>
                <c:pt idx="2">
                  <c:v>2542</c:v>
                </c:pt>
                <c:pt idx="3">
                  <c:v>2442</c:v>
                </c:pt>
                <c:pt idx="4">
                  <c:v>2681</c:v>
                </c:pt>
                <c:pt idx="5">
                  <c:v>2999</c:v>
                </c:pt>
                <c:pt idx="6">
                  <c:v>3654</c:v>
                </c:pt>
                <c:pt idx="7">
                  <c:v>3919</c:v>
                </c:pt>
                <c:pt idx="8">
                  <c:v>3773</c:v>
                </c:pt>
                <c:pt idx="9">
                  <c:v>3535</c:v>
                </c:pt>
                <c:pt idx="10">
                  <c:v>3406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0DA6-469C-8768-0610E7AA73A1}"/>
            </c:ext>
          </c:extLst>
        </c:ser>
        <c:ser>
          <c:idx val="3"/>
          <c:order val="3"/>
          <c:tx>
            <c:strRef>
              <c:f>'Datos Modelo 1 Final'!$E$114:$E$115</c:f>
              <c:strCache>
                <c:ptCount val="1"/>
                <c:pt idx="0">
                  <c:v>WF63144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'Datos Modelo 1 Final'!$A$116:$A$127</c:f>
              <c:strCache>
                <c:ptCount val="11"/>
                <c:pt idx="0">
                  <c:v>800</c:v>
                </c:pt>
                <c:pt idx="1">
                  <c:v>850</c:v>
                </c:pt>
                <c:pt idx="2">
                  <c:v>900</c:v>
                </c:pt>
                <c:pt idx="3">
                  <c:v>950</c:v>
                </c:pt>
                <c:pt idx="4">
                  <c:v>1000</c:v>
                </c:pt>
                <c:pt idx="5">
                  <c:v>1050</c:v>
                </c:pt>
                <c:pt idx="6">
                  <c:v>1100</c:v>
                </c:pt>
                <c:pt idx="7">
                  <c:v>1150</c:v>
                </c:pt>
                <c:pt idx="8">
                  <c:v>1200</c:v>
                </c:pt>
                <c:pt idx="9">
                  <c:v>1250</c:v>
                </c:pt>
                <c:pt idx="10">
                  <c:v>1300</c:v>
                </c:pt>
              </c:strCache>
            </c:strRef>
          </c:cat>
          <c:val>
            <c:numRef>
              <c:f>'Datos Modelo 1 Final'!$E$116:$E$127</c:f>
              <c:numCache>
                <c:formatCode>General</c:formatCode>
                <c:ptCount val="11"/>
                <c:pt idx="0">
                  <c:v>3207</c:v>
                </c:pt>
                <c:pt idx="1">
                  <c:v>3038</c:v>
                </c:pt>
                <c:pt idx="2">
                  <c:v>2929</c:v>
                </c:pt>
                <c:pt idx="3">
                  <c:v>2790</c:v>
                </c:pt>
                <c:pt idx="4">
                  <c:v>3038</c:v>
                </c:pt>
                <c:pt idx="5">
                  <c:v>2889</c:v>
                </c:pt>
                <c:pt idx="6">
                  <c:v>2800</c:v>
                </c:pt>
                <c:pt idx="7">
                  <c:v>2711</c:v>
                </c:pt>
                <c:pt idx="8">
                  <c:v>2969</c:v>
                </c:pt>
                <c:pt idx="9">
                  <c:v>2830</c:v>
                </c:pt>
                <c:pt idx="10">
                  <c:v>2701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DA6-469C-8768-0610E7AA73A1}"/>
            </c:ext>
          </c:extLst>
        </c:ser>
        <c:ser>
          <c:idx val="4"/>
          <c:order val="4"/>
          <c:tx>
            <c:strRef>
              <c:f>'Datos Modelo 1 Final'!$F$114:$F$115</c:f>
              <c:strCache>
                <c:ptCount val="1"/>
                <c:pt idx="0">
                  <c:v>WF63145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'Datos Modelo 1 Final'!$A$116:$A$127</c:f>
              <c:strCache>
                <c:ptCount val="11"/>
                <c:pt idx="0">
                  <c:v>800</c:v>
                </c:pt>
                <c:pt idx="1">
                  <c:v>850</c:v>
                </c:pt>
                <c:pt idx="2">
                  <c:v>900</c:v>
                </c:pt>
                <c:pt idx="3">
                  <c:v>950</c:v>
                </c:pt>
                <c:pt idx="4">
                  <c:v>1000</c:v>
                </c:pt>
                <c:pt idx="5">
                  <c:v>1050</c:v>
                </c:pt>
                <c:pt idx="6">
                  <c:v>1100</c:v>
                </c:pt>
                <c:pt idx="7">
                  <c:v>1150</c:v>
                </c:pt>
                <c:pt idx="8">
                  <c:v>1200</c:v>
                </c:pt>
                <c:pt idx="9">
                  <c:v>1250</c:v>
                </c:pt>
                <c:pt idx="10">
                  <c:v>1300</c:v>
                </c:pt>
              </c:strCache>
            </c:strRef>
          </c:cat>
          <c:val>
            <c:numRef>
              <c:f>'Datos Modelo 1 Final'!$F$116:$F$127</c:f>
              <c:numCache>
                <c:formatCode>General</c:formatCode>
                <c:ptCount val="11"/>
                <c:pt idx="0">
                  <c:v>2909</c:v>
                </c:pt>
                <c:pt idx="1">
                  <c:v>2770</c:v>
                </c:pt>
                <c:pt idx="2">
                  <c:v>2651</c:v>
                </c:pt>
                <c:pt idx="3">
                  <c:v>2949</c:v>
                </c:pt>
                <c:pt idx="4">
                  <c:v>2760</c:v>
                </c:pt>
                <c:pt idx="5">
                  <c:v>2641</c:v>
                </c:pt>
                <c:pt idx="6">
                  <c:v>2820</c:v>
                </c:pt>
                <c:pt idx="7">
                  <c:v>2691</c:v>
                </c:pt>
                <c:pt idx="8">
                  <c:v>3326</c:v>
                </c:pt>
                <c:pt idx="9">
                  <c:v>3187</c:v>
                </c:pt>
                <c:pt idx="10">
                  <c:v>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0DA6-469C-8768-0610E7AA73A1}"/>
            </c:ext>
          </c:extLst>
        </c:ser>
        <c:ser>
          <c:idx val="5"/>
          <c:order val="5"/>
          <c:tx>
            <c:strRef>
              <c:f>'Datos Modelo 1 Final'!$G$114:$G$115</c:f>
              <c:strCache>
                <c:ptCount val="1"/>
                <c:pt idx="0">
                  <c:v>WF63146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'Datos Modelo 1 Final'!$A$116:$A$127</c:f>
              <c:strCache>
                <c:ptCount val="11"/>
                <c:pt idx="0">
                  <c:v>800</c:v>
                </c:pt>
                <c:pt idx="1">
                  <c:v>850</c:v>
                </c:pt>
                <c:pt idx="2">
                  <c:v>900</c:v>
                </c:pt>
                <c:pt idx="3">
                  <c:v>950</c:v>
                </c:pt>
                <c:pt idx="4">
                  <c:v>1000</c:v>
                </c:pt>
                <c:pt idx="5">
                  <c:v>1050</c:v>
                </c:pt>
                <c:pt idx="6">
                  <c:v>1100</c:v>
                </c:pt>
                <c:pt idx="7">
                  <c:v>1150</c:v>
                </c:pt>
                <c:pt idx="8">
                  <c:v>1200</c:v>
                </c:pt>
                <c:pt idx="9">
                  <c:v>1250</c:v>
                </c:pt>
                <c:pt idx="10">
                  <c:v>1300</c:v>
                </c:pt>
              </c:strCache>
            </c:strRef>
          </c:cat>
          <c:val>
            <c:numRef>
              <c:f>'Datos Modelo 1 Final'!$G$116:$G$127</c:f>
              <c:numCache>
                <c:formatCode>General</c:formatCode>
                <c:ptCount val="11"/>
                <c:pt idx="0">
                  <c:v>2105</c:v>
                </c:pt>
                <c:pt idx="1">
                  <c:v>1986</c:v>
                </c:pt>
                <c:pt idx="2">
                  <c:v>1847</c:v>
                </c:pt>
                <c:pt idx="3">
                  <c:v>2065</c:v>
                </c:pt>
                <c:pt idx="4">
                  <c:v>1916</c:v>
                </c:pt>
                <c:pt idx="5">
                  <c:v>2115</c:v>
                </c:pt>
                <c:pt idx="6">
                  <c:v>2373</c:v>
                </c:pt>
                <c:pt idx="7">
                  <c:v>2234</c:v>
                </c:pt>
                <c:pt idx="8">
                  <c:v>3257</c:v>
                </c:pt>
                <c:pt idx="9">
                  <c:v>3138</c:v>
                </c:pt>
                <c:pt idx="10">
                  <c:v>3028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DA6-469C-8768-0610E7AA73A1}"/>
            </c:ext>
          </c:extLst>
        </c:ser>
        <c:ser>
          <c:idx val="6"/>
          <c:order val="6"/>
          <c:tx>
            <c:strRef>
              <c:f>'Datos Modelo 1 Final'!$H$114:$H$115</c:f>
              <c:strCache>
                <c:ptCount val="1"/>
                <c:pt idx="0">
                  <c:v>WF63147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'Datos Modelo 1 Final'!$A$116:$A$127</c:f>
              <c:strCache>
                <c:ptCount val="11"/>
                <c:pt idx="0">
                  <c:v>800</c:v>
                </c:pt>
                <c:pt idx="1">
                  <c:v>850</c:v>
                </c:pt>
                <c:pt idx="2">
                  <c:v>900</c:v>
                </c:pt>
                <c:pt idx="3">
                  <c:v>950</c:v>
                </c:pt>
                <c:pt idx="4">
                  <c:v>1000</c:v>
                </c:pt>
                <c:pt idx="5">
                  <c:v>1050</c:v>
                </c:pt>
                <c:pt idx="6">
                  <c:v>1100</c:v>
                </c:pt>
                <c:pt idx="7">
                  <c:v>1150</c:v>
                </c:pt>
                <c:pt idx="8">
                  <c:v>1200</c:v>
                </c:pt>
                <c:pt idx="9">
                  <c:v>1250</c:v>
                </c:pt>
                <c:pt idx="10">
                  <c:v>1300</c:v>
                </c:pt>
              </c:strCache>
            </c:strRef>
          </c:cat>
          <c:val>
            <c:numRef>
              <c:f>'Datos Modelo 1 Final'!$H$116:$H$127</c:f>
              <c:numCache>
                <c:formatCode>General</c:formatCode>
                <c:ptCount val="11"/>
                <c:pt idx="0">
                  <c:v>3217</c:v>
                </c:pt>
                <c:pt idx="1">
                  <c:v>3078</c:v>
                </c:pt>
                <c:pt idx="2">
                  <c:v>2989</c:v>
                </c:pt>
                <c:pt idx="3">
                  <c:v>2850</c:v>
                </c:pt>
                <c:pt idx="4">
                  <c:v>2720</c:v>
                </c:pt>
                <c:pt idx="5">
                  <c:v>2929</c:v>
                </c:pt>
                <c:pt idx="6">
                  <c:v>3177</c:v>
                </c:pt>
                <c:pt idx="7">
                  <c:v>3038</c:v>
                </c:pt>
                <c:pt idx="8">
                  <c:v>2919</c:v>
                </c:pt>
                <c:pt idx="9">
                  <c:v>2760</c:v>
                </c:pt>
                <c:pt idx="10">
                  <c:v>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0DA6-469C-8768-0610E7AA73A1}"/>
            </c:ext>
          </c:extLst>
        </c:ser>
        <c:ser>
          <c:idx val="7"/>
          <c:order val="7"/>
          <c:tx>
            <c:strRef>
              <c:f>'Datos Modelo 1 Final'!$I$114:$I$115</c:f>
              <c:strCache>
                <c:ptCount val="1"/>
                <c:pt idx="0">
                  <c:v>WF63148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'Datos Modelo 1 Final'!$A$116:$A$127</c:f>
              <c:strCache>
                <c:ptCount val="11"/>
                <c:pt idx="0">
                  <c:v>800</c:v>
                </c:pt>
                <c:pt idx="1">
                  <c:v>850</c:v>
                </c:pt>
                <c:pt idx="2">
                  <c:v>900</c:v>
                </c:pt>
                <c:pt idx="3">
                  <c:v>950</c:v>
                </c:pt>
                <c:pt idx="4">
                  <c:v>1000</c:v>
                </c:pt>
                <c:pt idx="5">
                  <c:v>1050</c:v>
                </c:pt>
                <c:pt idx="6">
                  <c:v>1100</c:v>
                </c:pt>
                <c:pt idx="7">
                  <c:v>1150</c:v>
                </c:pt>
                <c:pt idx="8">
                  <c:v>1200</c:v>
                </c:pt>
                <c:pt idx="9">
                  <c:v>1250</c:v>
                </c:pt>
                <c:pt idx="10">
                  <c:v>1300</c:v>
                </c:pt>
              </c:strCache>
            </c:strRef>
          </c:cat>
          <c:val>
            <c:numRef>
              <c:f>'Datos Modelo 1 Final'!$I$116:$I$127</c:f>
              <c:numCache>
                <c:formatCode>General</c:formatCode>
                <c:ptCount val="11"/>
                <c:pt idx="0">
                  <c:v>2820</c:v>
                </c:pt>
                <c:pt idx="1">
                  <c:v>3078</c:v>
                </c:pt>
                <c:pt idx="2">
                  <c:v>2899</c:v>
                </c:pt>
                <c:pt idx="3">
                  <c:v>2800</c:v>
                </c:pt>
                <c:pt idx="4">
                  <c:v>2671</c:v>
                </c:pt>
                <c:pt idx="5">
                  <c:v>2522</c:v>
                </c:pt>
                <c:pt idx="6">
                  <c:v>2830</c:v>
                </c:pt>
                <c:pt idx="7">
                  <c:v>2671</c:v>
                </c:pt>
                <c:pt idx="8">
                  <c:v>2512</c:v>
                </c:pt>
                <c:pt idx="9">
                  <c:v>2333</c:v>
                </c:pt>
                <c:pt idx="10">
                  <c:v>2532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0DA6-469C-8768-0610E7AA73A1}"/>
            </c:ext>
          </c:extLst>
        </c:ser>
        <c:ser>
          <c:idx val="8"/>
          <c:order val="8"/>
          <c:tx>
            <c:strRef>
              <c:f>'Datos Modelo 1 Final'!$J$114:$J$115</c:f>
              <c:strCache>
                <c:ptCount val="1"/>
                <c:pt idx="0">
                  <c:v>WF63149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'Datos Modelo 1 Final'!$A$116:$A$127</c:f>
              <c:strCache>
                <c:ptCount val="11"/>
                <c:pt idx="0">
                  <c:v>800</c:v>
                </c:pt>
                <c:pt idx="1">
                  <c:v>850</c:v>
                </c:pt>
                <c:pt idx="2">
                  <c:v>900</c:v>
                </c:pt>
                <c:pt idx="3">
                  <c:v>950</c:v>
                </c:pt>
                <c:pt idx="4">
                  <c:v>1000</c:v>
                </c:pt>
                <c:pt idx="5">
                  <c:v>1050</c:v>
                </c:pt>
                <c:pt idx="6">
                  <c:v>1100</c:v>
                </c:pt>
                <c:pt idx="7">
                  <c:v>1150</c:v>
                </c:pt>
                <c:pt idx="8">
                  <c:v>1200</c:v>
                </c:pt>
                <c:pt idx="9">
                  <c:v>1250</c:v>
                </c:pt>
                <c:pt idx="10">
                  <c:v>1300</c:v>
                </c:pt>
              </c:strCache>
            </c:strRef>
          </c:cat>
          <c:val>
            <c:numRef>
              <c:f>'Datos Modelo 1 Final'!$J$116:$J$127</c:f>
              <c:numCache>
                <c:formatCode>General</c:formatCode>
                <c:ptCount val="11"/>
                <c:pt idx="0">
                  <c:v>2929</c:v>
                </c:pt>
                <c:pt idx="1">
                  <c:v>2820</c:v>
                </c:pt>
                <c:pt idx="2">
                  <c:v>3406</c:v>
                </c:pt>
                <c:pt idx="3">
                  <c:v>3227</c:v>
                </c:pt>
                <c:pt idx="4">
                  <c:v>3088</c:v>
                </c:pt>
                <c:pt idx="5">
                  <c:v>3306</c:v>
                </c:pt>
                <c:pt idx="6">
                  <c:v>3128</c:v>
                </c:pt>
                <c:pt idx="7">
                  <c:v>3376</c:v>
                </c:pt>
                <c:pt idx="8">
                  <c:v>3654</c:v>
                </c:pt>
                <c:pt idx="9">
                  <c:v>3535</c:v>
                </c:pt>
                <c:pt idx="10">
                  <c:v>3366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0DA6-469C-8768-0610E7AA73A1}"/>
            </c:ext>
          </c:extLst>
        </c:ser>
        <c:ser>
          <c:idx val="9"/>
          <c:order val="9"/>
          <c:tx>
            <c:strRef>
              <c:f>'Datos Modelo 1 Final'!$K$114:$K$115</c:f>
              <c:strCache>
                <c:ptCount val="1"/>
                <c:pt idx="0">
                  <c:v>WF63150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'Datos Modelo 1 Final'!$A$116:$A$127</c:f>
              <c:strCache>
                <c:ptCount val="11"/>
                <c:pt idx="0">
                  <c:v>800</c:v>
                </c:pt>
                <c:pt idx="1">
                  <c:v>850</c:v>
                </c:pt>
                <c:pt idx="2">
                  <c:v>900</c:v>
                </c:pt>
                <c:pt idx="3">
                  <c:v>950</c:v>
                </c:pt>
                <c:pt idx="4">
                  <c:v>1000</c:v>
                </c:pt>
                <c:pt idx="5">
                  <c:v>1050</c:v>
                </c:pt>
                <c:pt idx="6">
                  <c:v>1100</c:v>
                </c:pt>
                <c:pt idx="7">
                  <c:v>1150</c:v>
                </c:pt>
                <c:pt idx="8">
                  <c:v>1200</c:v>
                </c:pt>
                <c:pt idx="9">
                  <c:v>1250</c:v>
                </c:pt>
                <c:pt idx="10">
                  <c:v>1300</c:v>
                </c:pt>
              </c:strCache>
            </c:strRef>
          </c:cat>
          <c:val>
            <c:numRef>
              <c:f>'Datos Modelo 1 Final'!$K$116:$K$127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26-0DA6-469C-8768-0610E7AA7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719424"/>
        <c:axId val="1707723264"/>
      </c:barChart>
      <c:catAx>
        <c:axId val="170771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07723264"/>
        <c:crosses val="autoZero"/>
        <c:auto val="1"/>
        <c:lblAlgn val="ctr"/>
        <c:lblOffset val="100"/>
        <c:noMultiLvlLbl val="0"/>
      </c:catAx>
      <c:valAx>
        <c:axId val="170772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0771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Ganancia</a:t>
            </a:r>
            <a:r>
              <a:rPr lang="es-AR" baseline="0"/>
              <a:t> por Experimento y Envío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'Datos Modelo 1 Final'!$I$1</c:f>
              <c:strCache>
                <c:ptCount val="1"/>
                <c:pt idx="0">
                  <c:v>Envio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'Datos Modelo 1 Final'!$A$2:$A$100</c:f>
              <c:strCache>
                <c:ptCount val="99"/>
                <c:pt idx="0">
                  <c:v>WF63141</c:v>
                </c:pt>
                <c:pt idx="1">
                  <c:v>WF63141</c:v>
                </c:pt>
                <c:pt idx="2">
                  <c:v>WF63141</c:v>
                </c:pt>
                <c:pt idx="3">
                  <c:v>WF63141</c:v>
                </c:pt>
                <c:pt idx="4">
                  <c:v>WF63141</c:v>
                </c:pt>
                <c:pt idx="5">
                  <c:v>WF63141</c:v>
                </c:pt>
                <c:pt idx="6">
                  <c:v>WF63141</c:v>
                </c:pt>
                <c:pt idx="7">
                  <c:v>WF63141</c:v>
                </c:pt>
                <c:pt idx="8">
                  <c:v>WF63141</c:v>
                </c:pt>
                <c:pt idx="9">
                  <c:v>WF63141</c:v>
                </c:pt>
                <c:pt idx="10">
                  <c:v>WF63141</c:v>
                </c:pt>
                <c:pt idx="11">
                  <c:v>WF63142</c:v>
                </c:pt>
                <c:pt idx="12">
                  <c:v>WF63142</c:v>
                </c:pt>
                <c:pt idx="13">
                  <c:v>WF63142</c:v>
                </c:pt>
                <c:pt idx="14">
                  <c:v>WF63142</c:v>
                </c:pt>
                <c:pt idx="15">
                  <c:v>WF63142</c:v>
                </c:pt>
                <c:pt idx="16">
                  <c:v>WF63142</c:v>
                </c:pt>
                <c:pt idx="17">
                  <c:v>WF63142</c:v>
                </c:pt>
                <c:pt idx="18">
                  <c:v>WF63142</c:v>
                </c:pt>
                <c:pt idx="19">
                  <c:v>WF63142</c:v>
                </c:pt>
                <c:pt idx="20">
                  <c:v>WF63142</c:v>
                </c:pt>
                <c:pt idx="21">
                  <c:v>WF63142</c:v>
                </c:pt>
                <c:pt idx="22">
                  <c:v>WF63143</c:v>
                </c:pt>
                <c:pt idx="23">
                  <c:v>WF63143</c:v>
                </c:pt>
                <c:pt idx="24">
                  <c:v>WF63143</c:v>
                </c:pt>
                <c:pt idx="25">
                  <c:v>WF63143</c:v>
                </c:pt>
                <c:pt idx="26">
                  <c:v>WF63143</c:v>
                </c:pt>
                <c:pt idx="27">
                  <c:v>WF63143</c:v>
                </c:pt>
                <c:pt idx="28">
                  <c:v>WF63143</c:v>
                </c:pt>
                <c:pt idx="29">
                  <c:v>WF63143</c:v>
                </c:pt>
                <c:pt idx="30">
                  <c:v>WF63143</c:v>
                </c:pt>
                <c:pt idx="31">
                  <c:v>WF63143</c:v>
                </c:pt>
                <c:pt idx="32">
                  <c:v>WF63143</c:v>
                </c:pt>
                <c:pt idx="33">
                  <c:v>WF63144</c:v>
                </c:pt>
                <c:pt idx="34">
                  <c:v>WF63144</c:v>
                </c:pt>
                <c:pt idx="35">
                  <c:v>WF63144</c:v>
                </c:pt>
                <c:pt idx="36">
                  <c:v>WF63144</c:v>
                </c:pt>
                <c:pt idx="37">
                  <c:v>WF63144</c:v>
                </c:pt>
                <c:pt idx="38">
                  <c:v>WF63144</c:v>
                </c:pt>
                <c:pt idx="39">
                  <c:v>WF63144</c:v>
                </c:pt>
                <c:pt idx="40">
                  <c:v>WF63144</c:v>
                </c:pt>
                <c:pt idx="41">
                  <c:v>WF63144</c:v>
                </c:pt>
                <c:pt idx="42">
                  <c:v>WF63144</c:v>
                </c:pt>
                <c:pt idx="43">
                  <c:v>WF63144</c:v>
                </c:pt>
                <c:pt idx="44">
                  <c:v>WF63145</c:v>
                </c:pt>
                <c:pt idx="45">
                  <c:v>WF63145</c:v>
                </c:pt>
                <c:pt idx="46">
                  <c:v>WF63145</c:v>
                </c:pt>
                <c:pt idx="47">
                  <c:v>WF63145</c:v>
                </c:pt>
                <c:pt idx="48">
                  <c:v>WF63145</c:v>
                </c:pt>
                <c:pt idx="49">
                  <c:v>WF63145</c:v>
                </c:pt>
                <c:pt idx="50">
                  <c:v>WF63145</c:v>
                </c:pt>
                <c:pt idx="51">
                  <c:v>WF63145</c:v>
                </c:pt>
                <c:pt idx="52">
                  <c:v>WF63145</c:v>
                </c:pt>
                <c:pt idx="53">
                  <c:v>WF63145</c:v>
                </c:pt>
                <c:pt idx="54">
                  <c:v>WF63145</c:v>
                </c:pt>
                <c:pt idx="55">
                  <c:v>WF63146</c:v>
                </c:pt>
                <c:pt idx="56">
                  <c:v>WF63146</c:v>
                </c:pt>
                <c:pt idx="57">
                  <c:v>WF63146</c:v>
                </c:pt>
                <c:pt idx="58">
                  <c:v>WF63146</c:v>
                </c:pt>
                <c:pt idx="59">
                  <c:v>WF63146</c:v>
                </c:pt>
                <c:pt idx="60">
                  <c:v>WF63146</c:v>
                </c:pt>
                <c:pt idx="61">
                  <c:v>WF63146</c:v>
                </c:pt>
                <c:pt idx="62">
                  <c:v>WF63146</c:v>
                </c:pt>
                <c:pt idx="63">
                  <c:v>WF63146</c:v>
                </c:pt>
                <c:pt idx="64">
                  <c:v>WF63146</c:v>
                </c:pt>
                <c:pt idx="65">
                  <c:v>WF63146</c:v>
                </c:pt>
                <c:pt idx="66">
                  <c:v>WF63147</c:v>
                </c:pt>
                <c:pt idx="67">
                  <c:v>WF63147</c:v>
                </c:pt>
                <c:pt idx="68">
                  <c:v>WF63147</c:v>
                </c:pt>
                <c:pt idx="69">
                  <c:v>WF63147</c:v>
                </c:pt>
                <c:pt idx="70">
                  <c:v>WF63147</c:v>
                </c:pt>
                <c:pt idx="71">
                  <c:v>WF63147</c:v>
                </c:pt>
                <c:pt idx="72">
                  <c:v>WF63147</c:v>
                </c:pt>
                <c:pt idx="73">
                  <c:v>WF63147</c:v>
                </c:pt>
                <c:pt idx="74">
                  <c:v>WF63147</c:v>
                </c:pt>
                <c:pt idx="75">
                  <c:v>WF63147</c:v>
                </c:pt>
                <c:pt idx="76">
                  <c:v>WF63147</c:v>
                </c:pt>
                <c:pt idx="77">
                  <c:v>WF63148</c:v>
                </c:pt>
                <c:pt idx="78">
                  <c:v>WF63148</c:v>
                </c:pt>
                <c:pt idx="79">
                  <c:v>WF63148</c:v>
                </c:pt>
                <c:pt idx="80">
                  <c:v>WF63148</c:v>
                </c:pt>
                <c:pt idx="81">
                  <c:v>WF63148</c:v>
                </c:pt>
                <c:pt idx="82">
                  <c:v>WF63148</c:v>
                </c:pt>
                <c:pt idx="83">
                  <c:v>WF63148</c:v>
                </c:pt>
                <c:pt idx="84">
                  <c:v>WF63148</c:v>
                </c:pt>
                <c:pt idx="85">
                  <c:v>WF63148</c:v>
                </c:pt>
                <c:pt idx="86">
                  <c:v>WF63148</c:v>
                </c:pt>
                <c:pt idx="87">
                  <c:v>WF63148</c:v>
                </c:pt>
                <c:pt idx="88">
                  <c:v>WF63149</c:v>
                </c:pt>
                <c:pt idx="89">
                  <c:v>WF63149</c:v>
                </c:pt>
                <c:pt idx="90">
                  <c:v>WF63149</c:v>
                </c:pt>
                <c:pt idx="91">
                  <c:v>WF63149</c:v>
                </c:pt>
                <c:pt idx="92">
                  <c:v>WF63149</c:v>
                </c:pt>
                <c:pt idx="93">
                  <c:v>WF63149</c:v>
                </c:pt>
                <c:pt idx="94">
                  <c:v>WF63149</c:v>
                </c:pt>
                <c:pt idx="95">
                  <c:v>WF63149</c:v>
                </c:pt>
                <c:pt idx="96">
                  <c:v>WF63149</c:v>
                </c:pt>
                <c:pt idx="97">
                  <c:v>WF63149</c:v>
                </c:pt>
                <c:pt idx="98">
                  <c:v>WF63149</c:v>
                </c:pt>
              </c:strCache>
            </c:strRef>
          </c:cat>
          <c:val>
            <c:numRef>
              <c:f>'Datos Modelo 1 Final'!$I$2:$I$100</c:f>
              <c:numCache>
                <c:formatCode>General</c:formatCode>
                <c:ptCount val="99"/>
                <c:pt idx="0">
                  <c:v>800</c:v>
                </c:pt>
                <c:pt idx="1">
                  <c:v>850</c:v>
                </c:pt>
                <c:pt idx="2">
                  <c:v>900</c:v>
                </c:pt>
                <c:pt idx="3">
                  <c:v>950</c:v>
                </c:pt>
                <c:pt idx="4">
                  <c:v>1000</c:v>
                </c:pt>
                <c:pt idx="5">
                  <c:v>1050</c:v>
                </c:pt>
                <c:pt idx="6">
                  <c:v>1100</c:v>
                </c:pt>
                <c:pt idx="7">
                  <c:v>1150</c:v>
                </c:pt>
                <c:pt idx="8">
                  <c:v>1200</c:v>
                </c:pt>
                <c:pt idx="9">
                  <c:v>1250</c:v>
                </c:pt>
                <c:pt idx="10">
                  <c:v>1300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800</c:v>
                </c:pt>
                <c:pt idx="23">
                  <c:v>850</c:v>
                </c:pt>
                <c:pt idx="24">
                  <c:v>900</c:v>
                </c:pt>
                <c:pt idx="25">
                  <c:v>950</c:v>
                </c:pt>
                <c:pt idx="26">
                  <c:v>1000</c:v>
                </c:pt>
                <c:pt idx="27">
                  <c:v>1050</c:v>
                </c:pt>
                <c:pt idx="28">
                  <c:v>1100</c:v>
                </c:pt>
                <c:pt idx="29">
                  <c:v>1150</c:v>
                </c:pt>
                <c:pt idx="30">
                  <c:v>1200</c:v>
                </c:pt>
                <c:pt idx="31">
                  <c:v>1250</c:v>
                </c:pt>
                <c:pt idx="32">
                  <c:v>1300</c:v>
                </c:pt>
                <c:pt idx="33">
                  <c:v>800</c:v>
                </c:pt>
                <c:pt idx="34">
                  <c:v>850</c:v>
                </c:pt>
                <c:pt idx="35">
                  <c:v>900</c:v>
                </c:pt>
                <c:pt idx="36">
                  <c:v>950</c:v>
                </c:pt>
                <c:pt idx="37">
                  <c:v>1000</c:v>
                </c:pt>
                <c:pt idx="38">
                  <c:v>1050</c:v>
                </c:pt>
                <c:pt idx="39">
                  <c:v>1100</c:v>
                </c:pt>
                <c:pt idx="40">
                  <c:v>1150</c:v>
                </c:pt>
                <c:pt idx="41">
                  <c:v>1200</c:v>
                </c:pt>
                <c:pt idx="42">
                  <c:v>1250</c:v>
                </c:pt>
                <c:pt idx="43">
                  <c:v>1300</c:v>
                </c:pt>
                <c:pt idx="44">
                  <c:v>800</c:v>
                </c:pt>
                <c:pt idx="45">
                  <c:v>850</c:v>
                </c:pt>
                <c:pt idx="46">
                  <c:v>900</c:v>
                </c:pt>
                <c:pt idx="47">
                  <c:v>950</c:v>
                </c:pt>
                <c:pt idx="48">
                  <c:v>1000</c:v>
                </c:pt>
                <c:pt idx="49">
                  <c:v>1050</c:v>
                </c:pt>
                <c:pt idx="50">
                  <c:v>1100</c:v>
                </c:pt>
                <c:pt idx="51">
                  <c:v>1150</c:v>
                </c:pt>
                <c:pt idx="52">
                  <c:v>1200</c:v>
                </c:pt>
                <c:pt idx="53">
                  <c:v>1250</c:v>
                </c:pt>
                <c:pt idx="54">
                  <c:v>1300</c:v>
                </c:pt>
                <c:pt idx="55">
                  <c:v>800</c:v>
                </c:pt>
                <c:pt idx="56">
                  <c:v>850</c:v>
                </c:pt>
                <c:pt idx="57">
                  <c:v>900</c:v>
                </c:pt>
                <c:pt idx="58">
                  <c:v>950</c:v>
                </c:pt>
                <c:pt idx="59">
                  <c:v>1000</c:v>
                </c:pt>
                <c:pt idx="60">
                  <c:v>1050</c:v>
                </c:pt>
                <c:pt idx="61">
                  <c:v>1100</c:v>
                </c:pt>
                <c:pt idx="62">
                  <c:v>1150</c:v>
                </c:pt>
                <c:pt idx="63">
                  <c:v>1200</c:v>
                </c:pt>
                <c:pt idx="64">
                  <c:v>1250</c:v>
                </c:pt>
                <c:pt idx="65">
                  <c:v>1300</c:v>
                </c:pt>
                <c:pt idx="66">
                  <c:v>800</c:v>
                </c:pt>
                <c:pt idx="67">
                  <c:v>850</c:v>
                </c:pt>
                <c:pt idx="68">
                  <c:v>900</c:v>
                </c:pt>
                <c:pt idx="69">
                  <c:v>950</c:v>
                </c:pt>
                <c:pt idx="70">
                  <c:v>1000</c:v>
                </c:pt>
                <c:pt idx="71">
                  <c:v>1050</c:v>
                </c:pt>
                <c:pt idx="72">
                  <c:v>1100</c:v>
                </c:pt>
                <c:pt idx="73">
                  <c:v>1150</c:v>
                </c:pt>
                <c:pt idx="74">
                  <c:v>1200</c:v>
                </c:pt>
                <c:pt idx="75">
                  <c:v>1250</c:v>
                </c:pt>
                <c:pt idx="76">
                  <c:v>1300</c:v>
                </c:pt>
                <c:pt idx="77">
                  <c:v>800</c:v>
                </c:pt>
                <c:pt idx="78">
                  <c:v>850</c:v>
                </c:pt>
                <c:pt idx="79">
                  <c:v>900</c:v>
                </c:pt>
                <c:pt idx="80">
                  <c:v>950</c:v>
                </c:pt>
                <c:pt idx="81">
                  <c:v>1000</c:v>
                </c:pt>
                <c:pt idx="82">
                  <c:v>1050</c:v>
                </c:pt>
                <c:pt idx="83">
                  <c:v>1100</c:v>
                </c:pt>
                <c:pt idx="84">
                  <c:v>1150</c:v>
                </c:pt>
                <c:pt idx="85">
                  <c:v>1200</c:v>
                </c:pt>
                <c:pt idx="86">
                  <c:v>1250</c:v>
                </c:pt>
                <c:pt idx="87">
                  <c:v>1300</c:v>
                </c:pt>
                <c:pt idx="88">
                  <c:v>800</c:v>
                </c:pt>
                <c:pt idx="89">
                  <c:v>850</c:v>
                </c:pt>
                <c:pt idx="90">
                  <c:v>900</c:v>
                </c:pt>
                <c:pt idx="91">
                  <c:v>950</c:v>
                </c:pt>
                <c:pt idx="92">
                  <c:v>1000</c:v>
                </c:pt>
                <c:pt idx="93">
                  <c:v>1050</c:v>
                </c:pt>
                <c:pt idx="94">
                  <c:v>1100</c:v>
                </c:pt>
                <c:pt idx="95">
                  <c:v>1150</c:v>
                </c:pt>
                <c:pt idx="96">
                  <c:v>1200</c:v>
                </c:pt>
                <c:pt idx="97">
                  <c:v>1250</c:v>
                </c:pt>
                <c:pt idx="98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DE-4204-9B6A-6A26C0CDD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7924592"/>
        <c:axId val="1797931792"/>
      </c:barChart>
      <c:lineChart>
        <c:grouping val="standard"/>
        <c:varyColors val="0"/>
        <c:ser>
          <c:idx val="0"/>
          <c:order val="0"/>
          <c:tx>
            <c:strRef>
              <c:f>'Datos Modelo 1 Final'!$H$1</c:f>
              <c:strCache>
                <c:ptCount val="1"/>
                <c:pt idx="0">
                  <c:v>Ganancia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'Datos Modelo 1 Final'!$A$2:$A$100</c:f>
              <c:strCache>
                <c:ptCount val="99"/>
                <c:pt idx="0">
                  <c:v>WF63141</c:v>
                </c:pt>
                <c:pt idx="1">
                  <c:v>WF63141</c:v>
                </c:pt>
                <c:pt idx="2">
                  <c:v>WF63141</c:v>
                </c:pt>
                <c:pt idx="3">
                  <c:v>WF63141</c:v>
                </c:pt>
                <c:pt idx="4">
                  <c:v>WF63141</c:v>
                </c:pt>
                <c:pt idx="5">
                  <c:v>WF63141</c:v>
                </c:pt>
                <c:pt idx="6">
                  <c:v>WF63141</c:v>
                </c:pt>
                <c:pt idx="7">
                  <c:v>WF63141</c:v>
                </c:pt>
                <c:pt idx="8">
                  <c:v>WF63141</c:v>
                </c:pt>
                <c:pt idx="9">
                  <c:v>WF63141</c:v>
                </c:pt>
                <c:pt idx="10">
                  <c:v>WF63141</c:v>
                </c:pt>
                <c:pt idx="11">
                  <c:v>WF63142</c:v>
                </c:pt>
                <c:pt idx="12">
                  <c:v>WF63142</c:v>
                </c:pt>
                <c:pt idx="13">
                  <c:v>WF63142</c:v>
                </c:pt>
                <c:pt idx="14">
                  <c:v>WF63142</c:v>
                </c:pt>
                <c:pt idx="15">
                  <c:v>WF63142</c:v>
                </c:pt>
                <c:pt idx="16">
                  <c:v>WF63142</c:v>
                </c:pt>
                <c:pt idx="17">
                  <c:v>WF63142</c:v>
                </c:pt>
                <c:pt idx="18">
                  <c:v>WF63142</c:v>
                </c:pt>
                <c:pt idx="19">
                  <c:v>WF63142</c:v>
                </c:pt>
                <c:pt idx="20">
                  <c:v>WF63142</c:v>
                </c:pt>
                <c:pt idx="21">
                  <c:v>WF63142</c:v>
                </c:pt>
                <c:pt idx="22">
                  <c:v>WF63143</c:v>
                </c:pt>
                <c:pt idx="23">
                  <c:v>WF63143</c:v>
                </c:pt>
                <c:pt idx="24">
                  <c:v>WF63143</c:v>
                </c:pt>
                <c:pt idx="25">
                  <c:v>WF63143</c:v>
                </c:pt>
                <c:pt idx="26">
                  <c:v>WF63143</c:v>
                </c:pt>
                <c:pt idx="27">
                  <c:v>WF63143</c:v>
                </c:pt>
                <c:pt idx="28">
                  <c:v>WF63143</c:v>
                </c:pt>
                <c:pt idx="29">
                  <c:v>WF63143</c:v>
                </c:pt>
                <c:pt idx="30">
                  <c:v>WF63143</c:v>
                </c:pt>
                <c:pt idx="31">
                  <c:v>WF63143</c:v>
                </c:pt>
                <c:pt idx="32">
                  <c:v>WF63143</c:v>
                </c:pt>
                <c:pt idx="33">
                  <c:v>WF63144</c:v>
                </c:pt>
                <c:pt idx="34">
                  <c:v>WF63144</c:v>
                </c:pt>
                <c:pt idx="35">
                  <c:v>WF63144</c:v>
                </c:pt>
                <c:pt idx="36">
                  <c:v>WF63144</c:v>
                </c:pt>
                <c:pt idx="37">
                  <c:v>WF63144</c:v>
                </c:pt>
                <c:pt idx="38">
                  <c:v>WF63144</c:v>
                </c:pt>
                <c:pt idx="39">
                  <c:v>WF63144</c:v>
                </c:pt>
                <c:pt idx="40">
                  <c:v>WF63144</c:v>
                </c:pt>
                <c:pt idx="41">
                  <c:v>WF63144</c:v>
                </c:pt>
                <c:pt idx="42">
                  <c:v>WF63144</c:v>
                </c:pt>
                <c:pt idx="43">
                  <c:v>WF63144</c:v>
                </c:pt>
                <c:pt idx="44">
                  <c:v>WF63145</c:v>
                </c:pt>
                <c:pt idx="45">
                  <c:v>WF63145</c:v>
                </c:pt>
                <c:pt idx="46">
                  <c:v>WF63145</c:v>
                </c:pt>
                <c:pt idx="47">
                  <c:v>WF63145</c:v>
                </c:pt>
                <c:pt idx="48">
                  <c:v>WF63145</c:v>
                </c:pt>
                <c:pt idx="49">
                  <c:v>WF63145</c:v>
                </c:pt>
                <c:pt idx="50">
                  <c:v>WF63145</c:v>
                </c:pt>
                <c:pt idx="51">
                  <c:v>WF63145</c:v>
                </c:pt>
                <c:pt idx="52">
                  <c:v>WF63145</c:v>
                </c:pt>
                <c:pt idx="53">
                  <c:v>WF63145</c:v>
                </c:pt>
                <c:pt idx="54">
                  <c:v>WF63145</c:v>
                </c:pt>
                <c:pt idx="55">
                  <c:v>WF63146</c:v>
                </c:pt>
                <c:pt idx="56">
                  <c:v>WF63146</c:v>
                </c:pt>
                <c:pt idx="57">
                  <c:v>WF63146</c:v>
                </c:pt>
                <c:pt idx="58">
                  <c:v>WF63146</c:v>
                </c:pt>
                <c:pt idx="59">
                  <c:v>WF63146</c:v>
                </c:pt>
                <c:pt idx="60">
                  <c:v>WF63146</c:v>
                </c:pt>
                <c:pt idx="61">
                  <c:v>WF63146</c:v>
                </c:pt>
                <c:pt idx="62">
                  <c:v>WF63146</c:v>
                </c:pt>
                <c:pt idx="63">
                  <c:v>WF63146</c:v>
                </c:pt>
                <c:pt idx="64">
                  <c:v>WF63146</c:v>
                </c:pt>
                <c:pt idx="65">
                  <c:v>WF63146</c:v>
                </c:pt>
                <c:pt idx="66">
                  <c:v>WF63147</c:v>
                </c:pt>
                <c:pt idx="67">
                  <c:v>WF63147</c:v>
                </c:pt>
                <c:pt idx="68">
                  <c:v>WF63147</c:v>
                </c:pt>
                <c:pt idx="69">
                  <c:v>WF63147</c:v>
                </c:pt>
                <c:pt idx="70">
                  <c:v>WF63147</c:v>
                </c:pt>
                <c:pt idx="71">
                  <c:v>WF63147</c:v>
                </c:pt>
                <c:pt idx="72">
                  <c:v>WF63147</c:v>
                </c:pt>
                <c:pt idx="73">
                  <c:v>WF63147</c:v>
                </c:pt>
                <c:pt idx="74">
                  <c:v>WF63147</c:v>
                </c:pt>
                <c:pt idx="75">
                  <c:v>WF63147</c:v>
                </c:pt>
                <c:pt idx="76">
                  <c:v>WF63147</c:v>
                </c:pt>
                <c:pt idx="77">
                  <c:v>WF63148</c:v>
                </c:pt>
                <c:pt idx="78">
                  <c:v>WF63148</c:v>
                </c:pt>
                <c:pt idx="79">
                  <c:v>WF63148</c:v>
                </c:pt>
                <c:pt idx="80">
                  <c:v>WF63148</c:v>
                </c:pt>
                <c:pt idx="81">
                  <c:v>WF63148</c:v>
                </c:pt>
                <c:pt idx="82">
                  <c:v>WF63148</c:v>
                </c:pt>
                <c:pt idx="83">
                  <c:v>WF63148</c:v>
                </c:pt>
                <c:pt idx="84">
                  <c:v>WF63148</c:v>
                </c:pt>
                <c:pt idx="85">
                  <c:v>WF63148</c:v>
                </c:pt>
                <c:pt idx="86">
                  <c:v>WF63148</c:v>
                </c:pt>
                <c:pt idx="87">
                  <c:v>WF63148</c:v>
                </c:pt>
                <c:pt idx="88">
                  <c:v>WF63149</c:v>
                </c:pt>
                <c:pt idx="89">
                  <c:v>WF63149</c:v>
                </c:pt>
                <c:pt idx="90">
                  <c:v>WF63149</c:v>
                </c:pt>
                <c:pt idx="91">
                  <c:v>WF63149</c:v>
                </c:pt>
                <c:pt idx="92">
                  <c:v>WF63149</c:v>
                </c:pt>
                <c:pt idx="93">
                  <c:v>WF63149</c:v>
                </c:pt>
                <c:pt idx="94">
                  <c:v>WF63149</c:v>
                </c:pt>
                <c:pt idx="95">
                  <c:v>WF63149</c:v>
                </c:pt>
                <c:pt idx="96">
                  <c:v>WF63149</c:v>
                </c:pt>
                <c:pt idx="97">
                  <c:v>WF63149</c:v>
                </c:pt>
                <c:pt idx="98">
                  <c:v>WF63149</c:v>
                </c:pt>
              </c:strCache>
            </c:strRef>
          </c:cat>
          <c:val>
            <c:numRef>
              <c:f>'Datos Modelo 1 Final'!$H$2:$H$100</c:f>
              <c:numCache>
                <c:formatCode>General</c:formatCode>
                <c:ptCount val="99"/>
                <c:pt idx="0">
                  <c:v>3575</c:v>
                </c:pt>
                <c:pt idx="1">
                  <c:v>3406</c:v>
                </c:pt>
                <c:pt idx="2">
                  <c:v>4061</c:v>
                </c:pt>
                <c:pt idx="3">
                  <c:v>3942</c:v>
                </c:pt>
                <c:pt idx="4">
                  <c:v>3882</c:v>
                </c:pt>
                <c:pt idx="5">
                  <c:v>3753</c:v>
                </c:pt>
                <c:pt idx="6">
                  <c:v>3584</c:v>
                </c:pt>
                <c:pt idx="7">
                  <c:v>3435</c:v>
                </c:pt>
                <c:pt idx="8">
                  <c:v>3296</c:v>
                </c:pt>
                <c:pt idx="9">
                  <c:v>3217</c:v>
                </c:pt>
                <c:pt idx="10">
                  <c:v>3435</c:v>
                </c:pt>
                <c:pt idx="11">
                  <c:v>3157</c:v>
                </c:pt>
                <c:pt idx="12">
                  <c:v>3058</c:v>
                </c:pt>
                <c:pt idx="13">
                  <c:v>2919</c:v>
                </c:pt>
                <c:pt idx="14">
                  <c:v>3167</c:v>
                </c:pt>
                <c:pt idx="15">
                  <c:v>3078</c:v>
                </c:pt>
                <c:pt idx="16">
                  <c:v>3376</c:v>
                </c:pt>
                <c:pt idx="17">
                  <c:v>3634</c:v>
                </c:pt>
                <c:pt idx="18">
                  <c:v>3535</c:v>
                </c:pt>
                <c:pt idx="19">
                  <c:v>3376</c:v>
                </c:pt>
                <c:pt idx="20">
                  <c:v>3227</c:v>
                </c:pt>
                <c:pt idx="21">
                  <c:v>3038</c:v>
                </c:pt>
                <c:pt idx="22">
                  <c:v>2840</c:v>
                </c:pt>
                <c:pt idx="23">
                  <c:v>2671</c:v>
                </c:pt>
                <c:pt idx="24">
                  <c:v>2542</c:v>
                </c:pt>
                <c:pt idx="25">
                  <c:v>2442</c:v>
                </c:pt>
                <c:pt idx="26">
                  <c:v>2681</c:v>
                </c:pt>
                <c:pt idx="27">
                  <c:v>2999</c:v>
                </c:pt>
                <c:pt idx="28">
                  <c:v>3654</c:v>
                </c:pt>
                <c:pt idx="29">
                  <c:v>3919</c:v>
                </c:pt>
                <c:pt idx="30">
                  <c:v>3773</c:v>
                </c:pt>
                <c:pt idx="31">
                  <c:v>3535</c:v>
                </c:pt>
                <c:pt idx="32">
                  <c:v>3406</c:v>
                </c:pt>
                <c:pt idx="33">
                  <c:v>3207</c:v>
                </c:pt>
                <c:pt idx="34">
                  <c:v>3038</c:v>
                </c:pt>
                <c:pt idx="35">
                  <c:v>2929</c:v>
                </c:pt>
                <c:pt idx="36">
                  <c:v>2790</c:v>
                </c:pt>
                <c:pt idx="37">
                  <c:v>3038</c:v>
                </c:pt>
                <c:pt idx="38">
                  <c:v>2889</c:v>
                </c:pt>
                <c:pt idx="39">
                  <c:v>2800</c:v>
                </c:pt>
                <c:pt idx="40">
                  <c:v>2711</c:v>
                </c:pt>
                <c:pt idx="41">
                  <c:v>2969</c:v>
                </c:pt>
                <c:pt idx="42">
                  <c:v>2830</c:v>
                </c:pt>
                <c:pt idx="43">
                  <c:v>2701</c:v>
                </c:pt>
                <c:pt idx="44">
                  <c:v>2909</c:v>
                </c:pt>
                <c:pt idx="45">
                  <c:v>2770</c:v>
                </c:pt>
                <c:pt idx="46">
                  <c:v>2651</c:v>
                </c:pt>
                <c:pt idx="47">
                  <c:v>2949</c:v>
                </c:pt>
                <c:pt idx="48">
                  <c:v>2760</c:v>
                </c:pt>
                <c:pt idx="49">
                  <c:v>2641</c:v>
                </c:pt>
                <c:pt idx="50">
                  <c:v>2820</c:v>
                </c:pt>
                <c:pt idx="51">
                  <c:v>2691</c:v>
                </c:pt>
                <c:pt idx="52">
                  <c:v>3326</c:v>
                </c:pt>
                <c:pt idx="53">
                  <c:v>3187</c:v>
                </c:pt>
                <c:pt idx="54">
                  <c:v>1813</c:v>
                </c:pt>
                <c:pt idx="55">
                  <c:v>2105</c:v>
                </c:pt>
                <c:pt idx="56">
                  <c:v>1986</c:v>
                </c:pt>
                <c:pt idx="57">
                  <c:v>1847</c:v>
                </c:pt>
                <c:pt idx="58">
                  <c:v>2065</c:v>
                </c:pt>
                <c:pt idx="59">
                  <c:v>1916</c:v>
                </c:pt>
                <c:pt idx="60">
                  <c:v>2115</c:v>
                </c:pt>
                <c:pt idx="61">
                  <c:v>2373</c:v>
                </c:pt>
                <c:pt idx="62">
                  <c:v>2234</c:v>
                </c:pt>
                <c:pt idx="63">
                  <c:v>3257</c:v>
                </c:pt>
                <c:pt idx="64">
                  <c:v>3138</c:v>
                </c:pt>
                <c:pt idx="65">
                  <c:v>3028</c:v>
                </c:pt>
                <c:pt idx="66">
                  <c:v>3217</c:v>
                </c:pt>
                <c:pt idx="67">
                  <c:v>3078</c:v>
                </c:pt>
                <c:pt idx="68">
                  <c:v>2989</c:v>
                </c:pt>
                <c:pt idx="69">
                  <c:v>2850</c:v>
                </c:pt>
                <c:pt idx="70">
                  <c:v>2720</c:v>
                </c:pt>
                <c:pt idx="71">
                  <c:v>2929</c:v>
                </c:pt>
                <c:pt idx="72">
                  <c:v>3177</c:v>
                </c:pt>
                <c:pt idx="73">
                  <c:v>3038</c:v>
                </c:pt>
                <c:pt idx="74">
                  <c:v>2919</c:v>
                </c:pt>
                <c:pt idx="75">
                  <c:v>2760</c:v>
                </c:pt>
                <c:pt idx="76">
                  <c:v>2601</c:v>
                </c:pt>
                <c:pt idx="77">
                  <c:v>2820</c:v>
                </c:pt>
                <c:pt idx="78">
                  <c:v>3078</c:v>
                </c:pt>
                <c:pt idx="79">
                  <c:v>2899</c:v>
                </c:pt>
                <c:pt idx="80">
                  <c:v>2800</c:v>
                </c:pt>
                <c:pt idx="81">
                  <c:v>2671</c:v>
                </c:pt>
                <c:pt idx="82">
                  <c:v>2522</c:v>
                </c:pt>
                <c:pt idx="83">
                  <c:v>2830</c:v>
                </c:pt>
                <c:pt idx="84">
                  <c:v>2671</c:v>
                </c:pt>
                <c:pt idx="85">
                  <c:v>2512</c:v>
                </c:pt>
                <c:pt idx="86">
                  <c:v>2333</c:v>
                </c:pt>
                <c:pt idx="87">
                  <c:v>2532</c:v>
                </c:pt>
                <c:pt idx="88">
                  <c:v>2929</c:v>
                </c:pt>
                <c:pt idx="89">
                  <c:v>2820</c:v>
                </c:pt>
                <c:pt idx="90">
                  <c:v>3406</c:v>
                </c:pt>
                <c:pt idx="91">
                  <c:v>3227</c:v>
                </c:pt>
                <c:pt idx="92">
                  <c:v>3088</c:v>
                </c:pt>
                <c:pt idx="93">
                  <c:v>3306</c:v>
                </c:pt>
                <c:pt idx="94">
                  <c:v>3128</c:v>
                </c:pt>
                <c:pt idx="95">
                  <c:v>3376</c:v>
                </c:pt>
                <c:pt idx="96">
                  <c:v>3654</c:v>
                </c:pt>
                <c:pt idx="97">
                  <c:v>3535</c:v>
                </c:pt>
                <c:pt idx="98">
                  <c:v>3366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DE-4204-9B6A-6A26C0CDD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334896"/>
        <c:axId val="1952337776"/>
      </c:lineChart>
      <c:catAx>
        <c:axId val="179792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97931792"/>
        <c:crosses val="autoZero"/>
        <c:auto val="1"/>
        <c:lblAlgn val="ctr"/>
        <c:lblOffset val="100"/>
        <c:noMultiLvlLbl val="0"/>
      </c:catAx>
      <c:valAx>
        <c:axId val="179793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97924592"/>
        <c:crosses val="autoZero"/>
        <c:crossBetween val="between"/>
      </c:valAx>
      <c:valAx>
        <c:axId val="19523377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52334896"/>
        <c:crosses val="max"/>
        <c:crossBetween val="between"/>
      </c:valAx>
      <c:catAx>
        <c:axId val="1952334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233777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'Datos Modelo 2 Final'!$I$1</c:f>
              <c:strCache>
                <c:ptCount val="1"/>
                <c:pt idx="0">
                  <c:v>Envio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'Datos Modelo 2 Final'!$A$2:$A$111</c:f>
              <c:strCache>
                <c:ptCount val="110"/>
                <c:pt idx="0">
                  <c:v>WF63151</c:v>
                </c:pt>
                <c:pt idx="1">
                  <c:v>WF63151</c:v>
                </c:pt>
                <c:pt idx="2">
                  <c:v>WF63151</c:v>
                </c:pt>
                <c:pt idx="3">
                  <c:v>WF63151</c:v>
                </c:pt>
                <c:pt idx="4">
                  <c:v>WF63151</c:v>
                </c:pt>
                <c:pt idx="5">
                  <c:v>WF63151</c:v>
                </c:pt>
                <c:pt idx="6">
                  <c:v>WF63151</c:v>
                </c:pt>
                <c:pt idx="7">
                  <c:v>WF63151</c:v>
                </c:pt>
                <c:pt idx="8">
                  <c:v>WF63151</c:v>
                </c:pt>
                <c:pt idx="9">
                  <c:v>WF63151</c:v>
                </c:pt>
                <c:pt idx="10">
                  <c:v>WF63151</c:v>
                </c:pt>
                <c:pt idx="11">
                  <c:v>WF63152</c:v>
                </c:pt>
                <c:pt idx="12">
                  <c:v>WF63152</c:v>
                </c:pt>
                <c:pt idx="13">
                  <c:v>WF63152</c:v>
                </c:pt>
                <c:pt idx="14">
                  <c:v>WF63152</c:v>
                </c:pt>
                <c:pt idx="15">
                  <c:v>WF63152</c:v>
                </c:pt>
                <c:pt idx="16">
                  <c:v>WF63152</c:v>
                </c:pt>
                <c:pt idx="17">
                  <c:v>WF63152</c:v>
                </c:pt>
                <c:pt idx="18">
                  <c:v>WF63152</c:v>
                </c:pt>
                <c:pt idx="19">
                  <c:v>WF63152</c:v>
                </c:pt>
                <c:pt idx="20">
                  <c:v>WF63152</c:v>
                </c:pt>
                <c:pt idx="21">
                  <c:v>WF63152</c:v>
                </c:pt>
                <c:pt idx="22">
                  <c:v>WF63153</c:v>
                </c:pt>
                <c:pt idx="23">
                  <c:v>WF63153</c:v>
                </c:pt>
                <c:pt idx="24">
                  <c:v>WF63153</c:v>
                </c:pt>
                <c:pt idx="25">
                  <c:v>WF63153</c:v>
                </c:pt>
                <c:pt idx="26">
                  <c:v>WF63153</c:v>
                </c:pt>
                <c:pt idx="27">
                  <c:v>WF63153</c:v>
                </c:pt>
                <c:pt idx="28">
                  <c:v>WF63153</c:v>
                </c:pt>
                <c:pt idx="29">
                  <c:v>WF63153</c:v>
                </c:pt>
                <c:pt idx="30">
                  <c:v>WF63153</c:v>
                </c:pt>
                <c:pt idx="31">
                  <c:v>WF63153</c:v>
                </c:pt>
                <c:pt idx="32">
                  <c:v>WF63153</c:v>
                </c:pt>
                <c:pt idx="33">
                  <c:v>WF63154</c:v>
                </c:pt>
                <c:pt idx="34">
                  <c:v>WF63154</c:v>
                </c:pt>
                <c:pt idx="35">
                  <c:v>WF63154</c:v>
                </c:pt>
                <c:pt idx="36">
                  <c:v>WF63154</c:v>
                </c:pt>
                <c:pt idx="37">
                  <c:v>WF63154</c:v>
                </c:pt>
                <c:pt idx="38">
                  <c:v>WF63154</c:v>
                </c:pt>
                <c:pt idx="39">
                  <c:v>WF63154</c:v>
                </c:pt>
                <c:pt idx="40">
                  <c:v>WF63154</c:v>
                </c:pt>
                <c:pt idx="41">
                  <c:v>WF63154</c:v>
                </c:pt>
                <c:pt idx="42">
                  <c:v>WF63154</c:v>
                </c:pt>
                <c:pt idx="43">
                  <c:v>WF63154</c:v>
                </c:pt>
                <c:pt idx="44">
                  <c:v>WF63155</c:v>
                </c:pt>
                <c:pt idx="45">
                  <c:v>WF63155</c:v>
                </c:pt>
                <c:pt idx="46">
                  <c:v>WF63155</c:v>
                </c:pt>
                <c:pt idx="47">
                  <c:v>WF63155</c:v>
                </c:pt>
                <c:pt idx="48">
                  <c:v>WF63155</c:v>
                </c:pt>
                <c:pt idx="49">
                  <c:v>WF63155</c:v>
                </c:pt>
                <c:pt idx="50">
                  <c:v>WF63155</c:v>
                </c:pt>
                <c:pt idx="51">
                  <c:v>WF63155</c:v>
                </c:pt>
                <c:pt idx="52">
                  <c:v>WF63155</c:v>
                </c:pt>
                <c:pt idx="53">
                  <c:v>WF63155</c:v>
                </c:pt>
                <c:pt idx="54">
                  <c:v>WF63155</c:v>
                </c:pt>
                <c:pt idx="55">
                  <c:v>WF63156</c:v>
                </c:pt>
                <c:pt idx="56">
                  <c:v>WF63156</c:v>
                </c:pt>
                <c:pt idx="57">
                  <c:v>WF63156</c:v>
                </c:pt>
                <c:pt idx="58">
                  <c:v>WF63156</c:v>
                </c:pt>
                <c:pt idx="59">
                  <c:v>WF63156</c:v>
                </c:pt>
                <c:pt idx="60">
                  <c:v>WF63156</c:v>
                </c:pt>
                <c:pt idx="61">
                  <c:v>WF63156</c:v>
                </c:pt>
                <c:pt idx="62">
                  <c:v>WF63156</c:v>
                </c:pt>
                <c:pt idx="63">
                  <c:v>WF63156</c:v>
                </c:pt>
                <c:pt idx="64">
                  <c:v>WF63156</c:v>
                </c:pt>
                <c:pt idx="65">
                  <c:v>WF63156</c:v>
                </c:pt>
                <c:pt idx="66">
                  <c:v>WF63157</c:v>
                </c:pt>
                <c:pt idx="67">
                  <c:v>WF63157</c:v>
                </c:pt>
                <c:pt idx="68">
                  <c:v>WF63157</c:v>
                </c:pt>
                <c:pt idx="69">
                  <c:v>WF63157</c:v>
                </c:pt>
                <c:pt idx="70">
                  <c:v>WF63157</c:v>
                </c:pt>
                <c:pt idx="71">
                  <c:v>WF63157</c:v>
                </c:pt>
                <c:pt idx="72">
                  <c:v>WF63157</c:v>
                </c:pt>
                <c:pt idx="73">
                  <c:v>WF63157</c:v>
                </c:pt>
                <c:pt idx="74">
                  <c:v>WF63157</c:v>
                </c:pt>
                <c:pt idx="75">
                  <c:v>WF63157</c:v>
                </c:pt>
                <c:pt idx="76">
                  <c:v>WF63157</c:v>
                </c:pt>
                <c:pt idx="77">
                  <c:v>WF63158</c:v>
                </c:pt>
                <c:pt idx="78">
                  <c:v>WF63158</c:v>
                </c:pt>
                <c:pt idx="79">
                  <c:v>WF63158</c:v>
                </c:pt>
                <c:pt idx="80">
                  <c:v>WF63158</c:v>
                </c:pt>
                <c:pt idx="81">
                  <c:v>WF63158</c:v>
                </c:pt>
                <c:pt idx="82">
                  <c:v>WF63158</c:v>
                </c:pt>
                <c:pt idx="83">
                  <c:v>WF63158</c:v>
                </c:pt>
                <c:pt idx="84">
                  <c:v>WF63158</c:v>
                </c:pt>
                <c:pt idx="85">
                  <c:v>WF63158</c:v>
                </c:pt>
                <c:pt idx="86">
                  <c:v>WF63158</c:v>
                </c:pt>
                <c:pt idx="87">
                  <c:v>WF63158</c:v>
                </c:pt>
                <c:pt idx="88">
                  <c:v>WF63159</c:v>
                </c:pt>
                <c:pt idx="89">
                  <c:v>WF63159</c:v>
                </c:pt>
                <c:pt idx="90">
                  <c:v>WF63159</c:v>
                </c:pt>
                <c:pt idx="91">
                  <c:v>WF63159</c:v>
                </c:pt>
                <c:pt idx="92">
                  <c:v>WF63159</c:v>
                </c:pt>
                <c:pt idx="93">
                  <c:v>WF63159</c:v>
                </c:pt>
                <c:pt idx="94">
                  <c:v>WF63159</c:v>
                </c:pt>
                <c:pt idx="95">
                  <c:v>WF63159</c:v>
                </c:pt>
                <c:pt idx="96">
                  <c:v>WF63159</c:v>
                </c:pt>
                <c:pt idx="97">
                  <c:v>WF63159</c:v>
                </c:pt>
                <c:pt idx="98">
                  <c:v>WF63159</c:v>
                </c:pt>
                <c:pt idx="99">
                  <c:v>WF63160</c:v>
                </c:pt>
                <c:pt idx="100">
                  <c:v>WF63160</c:v>
                </c:pt>
                <c:pt idx="101">
                  <c:v>WF63160</c:v>
                </c:pt>
                <c:pt idx="102">
                  <c:v>WF63160</c:v>
                </c:pt>
                <c:pt idx="103">
                  <c:v>WF63160</c:v>
                </c:pt>
                <c:pt idx="104">
                  <c:v>WF63160</c:v>
                </c:pt>
                <c:pt idx="105">
                  <c:v>WF63160</c:v>
                </c:pt>
                <c:pt idx="106">
                  <c:v>WF63160</c:v>
                </c:pt>
                <c:pt idx="107">
                  <c:v>WF63160</c:v>
                </c:pt>
                <c:pt idx="108">
                  <c:v>WF63160</c:v>
                </c:pt>
                <c:pt idx="109">
                  <c:v>WF63160</c:v>
                </c:pt>
              </c:strCache>
            </c:strRef>
          </c:cat>
          <c:val>
            <c:numRef>
              <c:f>'Datos Modelo 2 Final'!$I$2:$I$111</c:f>
              <c:numCache>
                <c:formatCode>General</c:formatCode>
                <c:ptCount val="110"/>
                <c:pt idx="0">
                  <c:v>800</c:v>
                </c:pt>
                <c:pt idx="1">
                  <c:v>850</c:v>
                </c:pt>
                <c:pt idx="2">
                  <c:v>900</c:v>
                </c:pt>
                <c:pt idx="3">
                  <c:v>950</c:v>
                </c:pt>
                <c:pt idx="4">
                  <c:v>1000</c:v>
                </c:pt>
                <c:pt idx="5">
                  <c:v>1050</c:v>
                </c:pt>
                <c:pt idx="6">
                  <c:v>1100</c:v>
                </c:pt>
                <c:pt idx="7">
                  <c:v>1150</c:v>
                </c:pt>
                <c:pt idx="8">
                  <c:v>1200</c:v>
                </c:pt>
                <c:pt idx="9">
                  <c:v>1250</c:v>
                </c:pt>
                <c:pt idx="10">
                  <c:v>1300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800</c:v>
                </c:pt>
                <c:pt idx="23">
                  <c:v>850</c:v>
                </c:pt>
                <c:pt idx="24">
                  <c:v>900</c:v>
                </c:pt>
                <c:pt idx="25">
                  <c:v>950</c:v>
                </c:pt>
                <c:pt idx="26">
                  <c:v>1000</c:v>
                </c:pt>
                <c:pt idx="27">
                  <c:v>1050</c:v>
                </c:pt>
                <c:pt idx="28">
                  <c:v>1100</c:v>
                </c:pt>
                <c:pt idx="29">
                  <c:v>1150</c:v>
                </c:pt>
                <c:pt idx="30">
                  <c:v>1200</c:v>
                </c:pt>
                <c:pt idx="31">
                  <c:v>1250</c:v>
                </c:pt>
                <c:pt idx="32">
                  <c:v>1300</c:v>
                </c:pt>
                <c:pt idx="33">
                  <c:v>800</c:v>
                </c:pt>
                <c:pt idx="34">
                  <c:v>850</c:v>
                </c:pt>
                <c:pt idx="35">
                  <c:v>900</c:v>
                </c:pt>
                <c:pt idx="36">
                  <c:v>950</c:v>
                </c:pt>
                <c:pt idx="37">
                  <c:v>1000</c:v>
                </c:pt>
                <c:pt idx="38">
                  <c:v>1050</c:v>
                </c:pt>
                <c:pt idx="39">
                  <c:v>1100</c:v>
                </c:pt>
                <c:pt idx="40">
                  <c:v>1150</c:v>
                </c:pt>
                <c:pt idx="41">
                  <c:v>1200</c:v>
                </c:pt>
                <c:pt idx="42">
                  <c:v>1250</c:v>
                </c:pt>
                <c:pt idx="43">
                  <c:v>1300</c:v>
                </c:pt>
                <c:pt idx="44">
                  <c:v>800</c:v>
                </c:pt>
                <c:pt idx="45">
                  <c:v>850</c:v>
                </c:pt>
                <c:pt idx="46">
                  <c:v>900</c:v>
                </c:pt>
                <c:pt idx="47">
                  <c:v>950</c:v>
                </c:pt>
                <c:pt idx="48">
                  <c:v>1000</c:v>
                </c:pt>
                <c:pt idx="49">
                  <c:v>1050</c:v>
                </c:pt>
                <c:pt idx="50">
                  <c:v>1100</c:v>
                </c:pt>
                <c:pt idx="51">
                  <c:v>1150</c:v>
                </c:pt>
                <c:pt idx="52">
                  <c:v>1200</c:v>
                </c:pt>
                <c:pt idx="53">
                  <c:v>1250</c:v>
                </c:pt>
                <c:pt idx="54">
                  <c:v>1300</c:v>
                </c:pt>
                <c:pt idx="55">
                  <c:v>800</c:v>
                </c:pt>
                <c:pt idx="56">
                  <c:v>850</c:v>
                </c:pt>
                <c:pt idx="57">
                  <c:v>900</c:v>
                </c:pt>
                <c:pt idx="58">
                  <c:v>950</c:v>
                </c:pt>
                <c:pt idx="59">
                  <c:v>1000</c:v>
                </c:pt>
                <c:pt idx="60">
                  <c:v>1050</c:v>
                </c:pt>
                <c:pt idx="61">
                  <c:v>1100</c:v>
                </c:pt>
                <c:pt idx="62">
                  <c:v>1150</c:v>
                </c:pt>
                <c:pt idx="63">
                  <c:v>1200</c:v>
                </c:pt>
                <c:pt idx="64">
                  <c:v>1250</c:v>
                </c:pt>
                <c:pt idx="65">
                  <c:v>1300</c:v>
                </c:pt>
                <c:pt idx="66">
                  <c:v>800</c:v>
                </c:pt>
                <c:pt idx="67">
                  <c:v>850</c:v>
                </c:pt>
                <c:pt idx="68">
                  <c:v>900</c:v>
                </c:pt>
                <c:pt idx="69">
                  <c:v>950</c:v>
                </c:pt>
                <c:pt idx="70">
                  <c:v>1000</c:v>
                </c:pt>
                <c:pt idx="71">
                  <c:v>1050</c:v>
                </c:pt>
                <c:pt idx="72">
                  <c:v>1100</c:v>
                </c:pt>
                <c:pt idx="73">
                  <c:v>1150</c:v>
                </c:pt>
                <c:pt idx="74">
                  <c:v>1200</c:v>
                </c:pt>
                <c:pt idx="75">
                  <c:v>1250</c:v>
                </c:pt>
                <c:pt idx="76">
                  <c:v>1300</c:v>
                </c:pt>
                <c:pt idx="77">
                  <c:v>800</c:v>
                </c:pt>
                <c:pt idx="78">
                  <c:v>850</c:v>
                </c:pt>
                <c:pt idx="79">
                  <c:v>900</c:v>
                </c:pt>
                <c:pt idx="80">
                  <c:v>950</c:v>
                </c:pt>
                <c:pt idx="81">
                  <c:v>1000</c:v>
                </c:pt>
                <c:pt idx="82">
                  <c:v>1050</c:v>
                </c:pt>
                <c:pt idx="83">
                  <c:v>1100</c:v>
                </c:pt>
                <c:pt idx="84">
                  <c:v>1150</c:v>
                </c:pt>
                <c:pt idx="85">
                  <c:v>1200</c:v>
                </c:pt>
                <c:pt idx="86">
                  <c:v>1250</c:v>
                </c:pt>
                <c:pt idx="87">
                  <c:v>1300</c:v>
                </c:pt>
                <c:pt idx="88">
                  <c:v>800</c:v>
                </c:pt>
                <c:pt idx="89">
                  <c:v>850</c:v>
                </c:pt>
                <c:pt idx="90">
                  <c:v>900</c:v>
                </c:pt>
                <c:pt idx="91">
                  <c:v>950</c:v>
                </c:pt>
                <c:pt idx="92">
                  <c:v>1000</c:v>
                </c:pt>
                <c:pt idx="93">
                  <c:v>1050</c:v>
                </c:pt>
                <c:pt idx="94">
                  <c:v>1100</c:v>
                </c:pt>
                <c:pt idx="95">
                  <c:v>1150</c:v>
                </c:pt>
                <c:pt idx="96">
                  <c:v>1200</c:v>
                </c:pt>
                <c:pt idx="97">
                  <c:v>1250</c:v>
                </c:pt>
                <c:pt idx="98">
                  <c:v>1300</c:v>
                </c:pt>
                <c:pt idx="99">
                  <c:v>800</c:v>
                </c:pt>
                <c:pt idx="100">
                  <c:v>850</c:v>
                </c:pt>
                <c:pt idx="101">
                  <c:v>900</c:v>
                </c:pt>
                <c:pt idx="102">
                  <c:v>950</c:v>
                </c:pt>
                <c:pt idx="103">
                  <c:v>1000</c:v>
                </c:pt>
                <c:pt idx="104">
                  <c:v>1050</c:v>
                </c:pt>
                <c:pt idx="105">
                  <c:v>1100</c:v>
                </c:pt>
                <c:pt idx="106">
                  <c:v>1150</c:v>
                </c:pt>
                <c:pt idx="107">
                  <c:v>1200</c:v>
                </c:pt>
                <c:pt idx="108">
                  <c:v>1250</c:v>
                </c:pt>
                <c:pt idx="109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2-47AB-B918-0EC226700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46495776"/>
        <c:axId val="1846500096"/>
      </c:barChart>
      <c:lineChart>
        <c:grouping val="standard"/>
        <c:varyColors val="0"/>
        <c:ser>
          <c:idx val="0"/>
          <c:order val="0"/>
          <c:tx>
            <c:strRef>
              <c:f>'Datos Modelo 2 Final'!$H$1</c:f>
              <c:strCache>
                <c:ptCount val="1"/>
                <c:pt idx="0">
                  <c:v>Ganancia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'Datos Modelo 2 Final'!$A$2:$A$111</c:f>
              <c:strCache>
                <c:ptCount val="110"/>
                <c:pt idx="0">
                  <c:v>WF63151</c:v>
                </c:pt>
                <c:pt idx="1">
                  <c:v>WF63151</c:v>
                </c:pt>
                <c:pt idx="2">
                  <c:v>WF63151</c:v>
                </c:pt>
                <c:pt idx="3">
                  <c:v>WF63151</c:v>
                </c:pt>
                <c:pt idx="4">
                  <c:v>WF63151</c:v>
                </c:pt>
                <c:pt idx="5">
                  <c:v>WF63151</c:v>
                </c:pt>
                <c:pt idx="6">
                  <c:v>WF63151</c:v>
                </c:pt>
                <c:pt idx="7">
                  <c:v>WF63151</c:v>
                </c:pt>
                <c:pt idx="8">
                  <c:v>WF63151</c:v>
                </c:pt>
                <c:pt idx="9">
                  <c:v>WF63151</c:v>
                </c:pt>
                <c:pt idx="10">
                  <c:v>WF63151</c:v>
                </c:pt>
                <c:pt idx="11">
                  <c:v>WF63152</c:v>
                </c:pt>
                <c:pt idx="12">
                  <c:v>WF63152</c:v>
                </c:pt>
                <c:pt idx="13">
                  <c:v>WF63152</c:v>
                </c:pt>
                <c:pt idx="14">
                  <c:v>WF63152</c:v>
                </c:pt>
                <c:pt idx="15">
                  <c:v>WF63152</c:v>
                </c:pt>
                <c:pt idx="16">
                  <c:v>WF63152</c:v>
                </c:pt>
                <c:pt idx="17">
                  <c:v>WF63152</c:v>
                </c:pt>
                <c:pt idx="18">
                  <c:v>WF63152</c:v>
                </c:pt>
                <c:pt idx="19">
                  <c:v>WF63152</c:v>
                </c:pt>
                <c:pt idx="20">
                  <c:v>WF63152</c:v>
                </c:pt>
                <c:pt idx="21">
                  <c:v>WF63152</c:v>
                </c:pt>
                <c:pt idx="22">
                  <c:v>WF63153</c:v>
                </c:pt>
                <c:pt idx="23">
                  <c:v>WF63153</c:v>
                </c:pt>
                <c:pt idx="24">
                  <c:v>WF63153</c:v>
                </c:pt>
                <c:pt idx="25">
                  <c:v>WF63153</c:v>
                </c:pt>
                <c:pt idx="26">
                  <c:v>WF63153</c:v>
                </c:pt>
                <c:pt idx="27">
                  <c:v>WF63153</c:v>
                </c:pt>
                <c:pt idx="28">
                  <c:v>WF63153</c:v>
                </c:pt>
                <c:pt idx="29">
                  <c:v>WF63153</c:v>
                </c:pt>
                <c:pt idx="30">
                  <c:v>WF63153</c:v>
                </c:pt>
                <c:pt idx="31">
                  <c:v>WF63153</c:v>
                </c:pt>
                <c:pt idx="32">
                  <c:v>WF63153</c:v>
                </c:pt>
                <c:pt idx="33">
                  <c:v>WF63154</c:v>
                </c:pt>
                <c:pt idx="34">
                  <c:v>WF63154</c:v>
                </c:pt>
                <c:pt idx="35">
                  <c:v>WF63154</c:v>
                </c:pt>
                <c:pt idx="36">
                  <c:v>WF63154</c:v>
                </c:pt>
                <c:pt idx="37">
                  <c:v>WF63154</c:v>
                </c:pt>
                <c:pt idx="38">
                  <c:v>WF63154</c:v>
                </c:pt>
                <c:pt idx="39">
                  <c:v>WF63154</c:v>
                </c:pt>
                <c:pt idx="40">
                  <c:v>WF63154</c:v>
                </c:pt>
                <c:pt idx="41">
                  <c:v>WF63154</c:v>
                </c:pt>
                <c:pt idx="42">
                  <c:v>WF63154</c:v>
                </c:pt>
                <c:pt idx="43">
                  <c:v>WF63154</c:v>
                </c:pt>
                <c:pt idx="44">
                  <c:v>WF63155</c:v>
                </c:pt>
                <c:pt idx="45">
                  <c:v>WF63155</c:v>
                </c:pt>
                <c:pt idx="46">
                  <c:v>WF63155</c:v>
                </c:pt>
                <c:pt idx="47">
                  <c:v>WF63155</c:v>
                </c:pt>
                <c:pt idx="48">
                  <c:v>WF63155</c:v>
                </c:pt>
                <c:pt idx="49">
                  <c:v>WF63155</c:v>
                </c:pt>
                <c:pt idx="50">
                  <c:v>WF63155</c:v>
                </c:pt>
                <c:pt idx="51">
                  <c:v>WF63155</c:v>
                </c:pt>
                <c:pt idx="52">
                  <c:v>WF63155</c:v>
                </c:pt>
                <c:pt idx="53">
                  <c:v>WF63155</c:v>
                </c:pt>
                <c:pt idx="54">
                  <c:v>WF63155</c:v>
                </c:pt>
                <c:pt idx="55">
                  <c:v>WF63156</c:v>
                </c:pt>
                <c:pt idx="56">
                  <c:v>WF63156</c:v>
                </c:pt>
                <c:pt idx="57">
                  <c:v>WF63156</c:v>
                </c:pt>
                <c:pt idx="58">
                  <c:v>WF63156</c:v>
                </c:pt>
                <c:pt idx="59">
                  <c:v>WF63156</c:v>
                </c:pt>
                <c:pt idx="60">
                  <c:v>WF63156</c:v>
                </c:pt>
                <c:pt idx="61">
                  <c:v>WF63156</c:v>
                </c:pt>
                <c:pt idx="62">
                  <c:v>WF63156</c:v>
                </c:pt>
                <c:pt idx="63">
                  <c:v>WF63156</c:v>
                </c:pt>
                <c:pt idx="64">
                  <c:v>WF63156</c:v>
                </c:pt>
                <c:pt idx="65">
                  <c:v>WF63156</c:v>
                </c:pt>
                <c:pt idx="66">
                  <c:v>WF63157</c:v>
                </c:pt>
                <c:pt idx="67">
                  <c:v>WF63157</c:v>
                </c:pt>
                <c:pt idx="68">
                  <c:v>WF63157</c:v>
                </c:pt>
                <c:pt idx="69">
                  <c:v>WF63157</c:v>
                </c:pt>
                <c:pt idx="70">
                  <c:v>WF63157</c:v>
                </c:pt>
                <c:pt idx="71">
                  <c:v>WF63157</c:v>
                </c:pt>
                <c:pt idx="72">
                  <c:v>WF63157</c:v>
                </c:pt>
                <c:pt idx="73">
                  <c:v>WF63157</c:v>
                </c:pt>
                <c:pt idx="74">
                  <c:v>WF63157</c:v>
                </c:pt>
                <c:pt idx="75">
                  <c:v>WF63157</c:v>
                </c:pt>
                <c:pt idx="76">
                  <c:v>WF63157</c:v>
                </c:pt>
                <c:pt idx="77">
                  <c:v>WF63158</c:v>
                </c:pt>
                <c:pt idx="78">
                  <c:v>WF63158</c:v>
                </c:pt>
                <c:pt idx="79">
                  <c:v>WF63158</c:v>
                </c:pt>
                <c:pt idx="80">
                  <c:v>WF63158</c:v>
                </c:pt>
                <c:pt idx="81">
                  <c:v>WF63158</c:v>
                </c:pt>
                <c:pt idx="82">
                  <c:v>WF63158</c:v>
                </c:pt>
                <c:pt idx="83">
                  <c:v>WF63158</c:v>
                </c:pt>
                <c:pt idx="84">
                  <c:v>WF63158</c:v>
                </c:pt>
                <c:pt idx="85">
                  <c:v>WF63158</c:v>
                </c:pt>
                <c:pt idx="86">
                  <c:v>WF63158</c:v>
                </c:pt>
                <c:pt idx="87">
                  <c:v>WF63158</c:v>
                </c:pt>
                <c:pt idx="88">
                  <c:v>WF63159</c:v>
                </c:pt>
                <c:pt idx="89">
                  <c:v>WF63159</c:v>
                </c:pt>
                <c:pt idx="90">
                  <c:v>WF63159</c:v>
                </c:pt>
                <c:pt idx="91">
                  <c:v>WF63159</c:v>
                </c:pt>
                <c:pt idx="92">
                  <c:v>WF63159</c:v>
                </c:pt>
                <c:pt idx="93">
                  <c:v>WF63159</c:v>
                </c:pt>
                <c:pt idx="94">
                  <c:v>WF63159</c:v>
                </c:pt>
                <c:pt idx="95">
                  <c:v>WF63159</c:v>
                </c:pt>
                <c:pt idx="96">
                  <c:v>WF63159</c:v>
                </c:pt>
                <c:pt idx="97">
                  <c:v>WF63159</c:v>
                </c:pt>
                <c:pt idx="98">
                  <c:v>WF63159</c:v>
                </c:pt>
                <c:pt idx="99">
                  <c:v>WF63160</c:v>
                </c:pt>
                <c:pt idx="100">
                  <c:v>WF63160</c:v>
                </c:pt>
                <c:pt idx="101">
                  <c:v>WF63160</c:v>
                </c:pt>
                <c:pt idx="102">
                  <c:v>WF63160</c:v>
                </c:pt>
                <c:pt idx="103">
                  <c:v>WF63160</c:v>
                </c:pt>
                <c:pt idx="104">
                  <c:v>WF63160</c:v>
                </c:pt>
                <c:pt idx="105">
                  <c:v>WF63160</c:v>
                </c:pt>
                <c:pt idx="106">
                  <c:v>WF63160</c:v>
                </c:pt>
                <c:pt idx="107">
                  <c:v>WF63160</c:v>
                </c:pt>
                <c:pt idx="108">
                  <c:v>WF63160</c:v>
                </c:pt>
                <c:pt idx="109">
                  <c:v>WF63160</c:v>
                </c:pt>
              </c:strCache>
            </c:strRef>
          </c:cat>
          <c:val>
            <c:numRef>
              <c:f>'Datos Modelo 2 Final'!$H$2:$H$111</c:f>
              <c:numCache>
                <c:formatCode>General</c:formatCode>
                <c:ptCount val="110"/>
                <c:pt idx="0">
                  <c:v>3584</c:v>
                </c:pt>
                <c:pt idx="1">
                  <c:v>3813</c:v>
                </c:pt>
                <c:pt idx="2">
                  <c:v>4121</c:v>
                </c:pt>
                <c:pt idx="3">
                  <c:v>3982</c:v>
                </c:pt>
                <c:pt idx="4">
                  <c:v>3863</c:v>
                </c:pt>
                <c:pt idx="5">
                  <c:v>3783</c:v>
                </c:pt>
                <c:pt idx="6">
                  <c:v>4409</c:v>
                </c:pt>
                <c:pt idx="7">
                  <c:v>4240</c:v>
                </c:pt>
                <c:pt idx="8">
                  <c:v>4111</c:v>
                </c:pt>
                <c:pt idx="9">
                  <c:v>4359</c:v>
                </c:pt>
                <c:pt idx="10">
                  <c:v>4220</c:v>
                </c:pt>
                <c:pt idx="22">
                  <c:v>3674</c:v>
                </c:pt>
                <c:pt idx="23">
                  <c:v>4280</c:v>
                </c:pt>
                <c:pt idx="24">
                  <c:v>4111</c:v>
                </c:pt>
                <c:pt idx="25">
                  <c:v>7379</c:v>
                </c:pt>
                <c:pt idx="26">
                  <c:v>4270</c:v>
                </c:pt>
                <c:pt idx="27">
                  <c:v>4508</c:v>
                </c:pt>
                <c:pt idx="28">
                  <c:v>4319</c:v>
                </c:pt>
                <c:pt idx="29">
                  <c:v>4141</c:v>
                </c:pt>
                <c:pt idx="30">
                  <c:v>4002</c:v>
                </c:pt>
                <c:pt idx="31">
                  <c:v>3843</c:v>
                </c:pt>
                <c:pt idx="32">
                  <c:v>3674</c:v>
                </c:pt>
                <c:pt idx="33">
                  <c:v>3644</c:v>
                </c:pt>
                <c:pt idx="34">
                  <c:v>3872</c:v>
                </c:pt>
                <c:pt idx="35">
                  <c:v>3714</c:v>
                </c:pt>
                <c:pt idx="36">
                  <c:v>4011</c:v>
                </c:pt>
                <c:pt idx="37">
                  <c:v>3853</c:v>
                </c:pt>
                <c:pt idx="38">
                  <c:v>3723</c:v>
                </c:pt>
                <c:pt idx="39">
                  <c:v>3565</c:v>
                </c:pt>
                <c:pt idx="40">
                  <c:v>3455</c:v>
                </c:pt>
                <c:pt idx="41">
                  <c:v>3346</c:v>
                </c:pt>
                <c:pt idx="42">
                  <c:v>3207</c:v>
                </c:pt>
                <c:pt idx="43">
                  <c:v>3445</c:v>
                </c:pt>
                <c:pt idx="44">
                  <c:v>3624</c:v>
                </c:pt>
                <c:pt idx="45">
                  <c:v>3902</c:v>
                </c:pt>
                <c:pt idx="46">
                  <c:v>4091</c:v>
                </c:pt>
                <c:pt idx="47">
                  <c:v>3932</c:v>
                </c:pt>
                <c:pt idx="48">
                  <c:v>4558</c:v>
                </c:pt>
                <c:pt idx="49">
                  <c:v>4438</c:v>
                </c:pt>
                <c:pt idx="50">
                  <c:v>4220</c:v>
                </c:pt>
                <c:pt idx="51">
                  <c:v>4141</c:v>
                </c:pt>
                <c:pt idx="52">
                  <c:v>3932</c:v>
                </c:pt>
                <c:pt idx="53">
                  <c:v>3853</c:v>
                </c:pt>
                <c:pt idx="54">
                  <c:v>3704</c:v>
                </c:pt>
                <c:pt idx="55">
                  <c:v>4379</c:v>
                </c:pt>
                <c:pt idx="56">
                  <c:v>4270</c:v>
                </c:pt>
                <c:pt idx="57">
                  <c:v>4160</c:v>
                </c:pt>
                <c:pt idx="58">
                  <c:v>4031</c:v>
                </c:pt>
                <c:pt idx="59">
                  <c:v>3892</c:v>
                </c:pt>
                <c:pt idx="60">
                  <c:v>3773</c:v>
                </c:pt>
                <c:pt idx="61">
                  <c:v>3654</c:v>
                </c:pt>
                <c:pt idx="62">
                  <c:v>3465</c:v>
                </c:pt>
                <c:pt idx="63">
                  <c:v>4091</c:v>
                </c:pt>
                <c:pt idx="64">
                  <c:v>3952</c:v>
                </c:pt>
                <c:pt idx="65">
                  <c:v>3813</c:v>
                </c:pt>
                <c:pt idx="66">
                  <c:v>3584</c:v>
                </c:pt>
                <c:pt idx="67">
                  <c:v>4270</c:v>
                </c:pt>
                <c:pt idx="68">
                  <c:v>4141</c:v>
                </c:pt>
                <c:pt idx="69">
                  <c:v>4379</c:v>
                </c:pt>
                <c:pt idx="70">
                  <c:v>4260</c:v>
                </c:pt>
                <c:pt idx="71">
                  <c:v>4180</c:v>
                </c:pt>
                <c:pt idx="72">
                  <c:v>4011</c:v>
                </c:pt>
                <c:pt idx="73">
                  <c:v>3902</c:v>
                </c:pt>
                <c:pt idx="74">
                  <c:v>3793</c:v>
                </c:pt>
                <c:pt idx="75">
                  <c:v>3624</c:v>
                </c:pt>
                <c:pt idx="76">
                  <c:v>3872</c:v>
                </c:pt>
                <c:pt idx="77">
                  <c:v>3654</c:v>
                </c:pt>
                <c:pt idx="78">
                  <c:v>3892</c:v>
                </c:pt>
                <c:pt idx="79">
                  <c:v>4150</c:v>
                </c:pt>
                <c:pt idx="80">
                  <c:v>4399</c:v>
                </c:pt>
                <c:pt idx="81">
                  <c:v>4210</c:v>
                </c:pt>
                <c:pt idx="82">
                  <c:v>4091</c:v>
                </c:pt>
                <c:pt idx="83">
                  <c:v>3922</c:v>
                </c:pt>
                <c:pt idx="84">
                  <c:v>3853</c:v>
                </c:pt>
                <c:pt idx="85">
                  <c:v>3723</c:v>
                </c:pt>
                <c:pt idx="86">
                  <c:v>3575</c:v>
                </c:pt>
                <c:pt idx="87">
                  <c:v>3853</c:v>
                </c:pt>
                <c:pt idx="88">
                  <c:v>2442</c:v>
                </c:pt>
                <c:pt idx="89">
                  <c:v>3078</c:v>
                </c:pt>
                <c:pt idx="90">
                  <c:v>3773</c:v>
                </c:pt>
                <c:pt idx="91">
                  <c:v>3584</c:v>
                </c:pt>
                <c:pt idx="92">
                  <c:v>3813</c:v>
                </c:pt>
                <c:pt idx="93">
                  <c:v>3694</c:v>
                </c:pt>
                <c:pt idx="94">
                  <c:v>3555</c:v>
                </c:pt>
                <c:pt idx="95">
                  <c:v>3803</c:v>
                </c:pt>
                <c:pt idx="96">
                  <c:v>3694</c:v>
                </c:pt>
                <c:pt idx="97">
                  <c:v>4011</c:v>
                </c:pt>
                <c:pt idx="98">
                  <c:v>3892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D2-47AB-B918-0EC226700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5619536"/>
        <c:axId val="1795612816"/>
      </c:lineChart>
      <c:catAx>
        <c:axId val="184649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46500096"/>
        <c:crosses val="autoZero"/>
        <c:auto val="1"/>
        <c:lblAlgn val="ctr"/>
        <c:lblOffset val="100"/>
        <c:noMultiLvlLbl val="0"/>
      </c:catAx>
      <c:valAx>
        <c:axId val="184650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46495776"/>
        <c:crosses val="autoZero"/>
        <c:crossBetween val="between"/>
      </c:valAx>
      <c:valAx>
        <c:axId val="1795612816"/>
        <c:scaling>
          <c:orientation val="minMax"/>
          <c:max val="75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95619536"/>
        <c:crosses val="max"/>
        <c:crossBetween val="between"/>
      </c:valAx>
      <c:catAx>
        <c:axId val="1795619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9561281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787400</xdr:colOff>
      <xdr:row>79</xdr:row>
      <xdr:rowOff>20637</xdr:rowOff>
    </xdr:from>
    <xdr:to>
      <xdr:col>23</xdr:col>
      <xdr:colOff>685800</xdr:colOff>
      <xdr:row>100</xdr:row>
      <xdr:rowOff>111125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DDA9C04-E0C6-C05C-09FA-EFAC51D5D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79</xdr:row>
      <xdr:rowOff>11111</xdr:rowOff>
    </xdr:from>
    <xdr:to>
      <xdr:col>14</xdr:col>
      <xdr:colOff>342900</xdr:colOff>
      <xdr:row>100</xdr:row>
      <xdr:rowOff>38099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BFFD34D-7EF0-D58B-5671-26BCB0898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742950</xdr:colOff>
      <xdr:row>41</xdr:row>
      <xdr:rowOff>6350</xdr:rowOff>
    </xdr:from>
    <xdr:to>
      <xdr:col>21</xdr:col>
      <xdr:colOff>739775</xdr:colOff>
      <xdr:row>78</xdr:row>
      <xdr:rowOff>40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2D344AD-C3A0-89D1-3B97-00EBC38C3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7950200"/>
          <a:ext cx="7045325" cy="6937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428624</xdr:colOff>
      <xdr:row>4</xdr:row>
      <xdr:rowOff>19051</xdr:rowOff>
    </xdr:from>
    <xdr:to>
      <xdr:col>21</xdr:col>
      <xdr:colOff>716146</xdr:colOff>
      <xdr:row>37</xdr:row>
      <xdr:rowOff>180976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FF46B90-DEDA-D8AD-4642-D64B95ADE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0174" y="809626"/>
          <a:ext cx="6491472" cy="655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128</xdr:row>
      <xdr:rowOff>1587</xdr:rowOff>
    </xdr:from>
    <xdr:to>
      <xdr:col>12</xdr:col>
      <xdr:colOff>0</xdr:colOff>
      <xdr:row>160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2E6B71-3106-F747-C370-44AC67707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95248</xdr:colOff>
      <xdr:row>128</xdr:row>
      <xdr:rowOff>1585</xdr:rowOff>
    </xdr:from>
    <xdr:to>
      <xdr:col>23</xdr:col>
      <xdr:colOff>361949</xdr:colOff>
      <xdr:row>160</xdr:row>
      <xdr:rowOff>123825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5F7BA31-7531-588C-452E-00DA25B7F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828675</xdr:colOff>
      <xdr:row>87</xdr:row>
      <xdr:rowOff>105613</xdr:rowOff>
    </xdr:from>
    <xdr:to>
      <xdr:col>22</xdr:col>
      <xdr:colOff>333375</xdr:colOff>
      <xdr:row>124</xdr:row>
      <xdr:rowOff>142875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6B30109-5728-FAD7-3489-675D7D1FD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49100" y="17498263"/>
          <a:ext cx="7200900" cy="7190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49</xdr:row>
      <xdr:rowOff>37646</xdr:rowOff>
    </xdr:from>
    <xdr:to>
      <xdr:col>22</xdr:col>
      <xdr:colOff>171450</xdr:colOff>
      <xdr:row>84</xdr:row>
      <xdr:rowOff>177800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CE42A48-6080-BD89-89E9-8EB4A9DCB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8625" y="9829346"/>
          <a:ext cx="7029450" cy="7141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12700</xdr:colOff>
      <xdr:row>41</xdr:row>
      <xdr:rowOff>171450</xdr:rowOff>
    </xdr:from>
    <xdr:to>
      <xdr:col>24</xdr:col>
      <xdr:colOff>114300</xdr:colOff>
      <xdr:row>77</xdr:row>
      <xdr:rowOff>44450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291DD8-EE49-18E0-B9C0-5ADA508A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2700" y="8235950"/>
          <a:ext cx="6959600" cy="695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336550</xdr:colOff>
      <xdr:row>7</xdr:row>
      <xdr:rowOff>171450</xdr:rowOff>
    </xdr:from>
    <xdr:to>
      <xdr:col>22</xdr:col>
      <xdr:colOff>457200</xdr:colOff>
      <xdr:row>39</xdr:row>
      <xdr:rowOff>88900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89EFD0-AD9A-1176-53CB-07896B50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4550" y="1543050"/>
          <a:ext cx="6216650" cy="6216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19050</xdr:colOff>
      <xdr:row>107</xdr:row>
      <xdr:rowOff>20637</xdr:rowOff>
    </xdr:from>
    <xdr:to>
      <xdr:col>23</xdr:col>
      <xdr:colOff>19050</xdr:colOff>
      <xdr:row>130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6B49C60-D071-FC9D-F173-8AD404CEB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Gastaldo" refreshedDate="45991.114804861114" createdVersion="8" refreshedVersion="8" minRefreshableVersion="3" recordCount="55" xr:uid="{D3FDF264-3707-49B0-A6CC-AD235B4746BE}">
  <cacheSource type="worksheet">
    <worksheetSource ref="G1:I56" sheet="Datos Modelo Baseline"/>
  </cacheSource>
  <cacheFields count="3">
    <cacheField name="Nro. Exper." numFmtId="0">
      <sharedItems containsBlank="1" count="6">
        <s v="WF6300"/>
        <s v="WF6301"/>
        <s v="WF6302"/>
        <s v="WF6303"/>
        <s v="WF6304"/>
        <m u="1"/>
      </sharedItems>
    </cacheField>
    <cacheField name="Ganancia" numFmtId="3">
      <sharedItems containsSemiMixedTypes="0" containsString="0" containsNumber="1" containsInteger="1" minValue="3148" maxValue="5144"/>
    </cacheField>
    <cacheField name="Envio" numFmtId="0">
      <sharedItems containsSemiMixedTypes="0" containsString="0" containsNumber="1" containsInteger="1" minValue="800" maxValue="1300" count="11">
        <n v="800"/>
        <n v="850"/>
        <n v="900"/>
        <n v="950"/>
        <n v="1000"/>
        <n v="1050"/>
        <n v="1100"/>
        <n v="1150"/>
        <n v="1200"/>
        <n v="1250"/>
        <n v="13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Gastaldo" refreshedDate="45991.114805324076" createdVersion="8" refreshedVersion="8" minRefreshableVersion="3" recordCount="110" xr:uid="{0F3762B1-8FD9-40EF-8D71-5037A5D4C0C4}">
  <cacheSource type="worksheet">
    <worksheetSource ref="A1:K111" sheet="Datos Modelo 1 Final"/>
  </cacheSource>
  <cacheFields count="11">
    <cacheField name="Nro. Exper." numFmtId="0">
      <sharedItems count="10">
        <s v="WF63141"/>
        <s v="WF63142"/>
        <s v="WF63143"/>
        <s v="WF63144"/>
        <s v="WF63145"/>
        <s v="WF63146"/>
        <s v="WF63147"/>
        <s v="WF63148"/>
        <s v="WF63149"/>
        <s v="WF63150"/>
      </sharedItems>
    </cacheField>
    <cacheField name="Semilla" numFmtId="0">
      <sharedItems containsSemiMixedTypes="0" containsString="0" containsNumber="1" containsInteger="1" minValue="101581" maxValue="979873"/>
    </cacheField>
    <cacheField name="Nro. de HT" numFmtId="0">
      <sharedItems containsSemiMixedTypes="0" containsString="0" containsNumber="1" containsInteger="1" minValue="6" maxValue="6"/>
    </cacheField>
    <cacheField name="Nro. Iterac." numFmtId="0">
      <sharedItems containsSemiMixedTypes="0" containsString="0" containsNumber="1" containsInteger="1" minValue="60" maxValue="60"/>
    </cacheField>
    <cacheField name="Usuario" numFmtId="0">
      <sharedItems/>
    </cacheField>
    <cacheField name="Browser" numFmtId="0">
      <sharedItems/>
    </cacheField>
    <cacheField name="Status" numFmtId="0">
      <sharedItems/>
    </cacheField>
    <cacheField name="Ganancia" numFmtId="0">
      <sharedItems containsString="0" containsBlank="1" containsNumber="1" containsInteger="1" minValue="1813" maxValue="4061"/>
    </cacheField>
    <cacheField name="Status2" numFmtId="0">
      <sharedItems containsBlank="1"/>
    </cacheField>
    <cacheField name="Envio" numFmtId="0">
      <sharedItems containsSemiMixedTypes="0" containsString="0" containsNumber="1" containsInteger="1" minValue="800" maxValue="1300" count="11">
        <n v="800"/>
        <n v="850"/>
        <n v="900"/>
        <n v="950"/>
        <n v="1000"/>
        <n v="1050"/>
        <n v="1100"/>
        <n v="1150"/>
        <n v="1200"/>
        <n v="1250"/>
        <n v="1300"/>
      </sharedItems>
    </cacheField>
    <cacheField name="Tiempo" numFmtId="164">
      <sharedItems containsNonDate="0" containsDate="1" containsString="0" containsBlank="1" minDate="1899-12-30T09:16:03" maxDate="1899-12-30T13:07: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x v="0"/>
    <n v="3634"/>
    <x v="0"/>
  </r>
  <r>
    <x v="0"/>
    <n v="3843"/>
    <x v="1"/>
  </r>
  <r>
    <x v="0"/>
    <n v="3654"/>
    <x v="2"/>
  </r>
  <r>
    <x v="0"/>
    <n v="3912"/>
    <x v="3"/>
  </r>
  <r>
    <x v="0"/>
    <n v="3723"/>
    <x v="4"/>
  </r>
  <r>
    <x v="0"/>
    <n v="3594"/>
    <x v="5"/>
  </r>
  <r>
    <x v="0"/>
    <n v="3485"/>
    <x v="6"/>
  </r>
  <r>
    <x v="0"/>
    <n v="3296"/>
    <x v="7"/>
  </r>
  <r>
    <x v="0"/>
    <n v="3148"/>
    <x v="8"/>
  </r>
  <r>
    <x v="0"/>
    <n v="3386"/>
    <x v="9"/>
  </r>
  <r>
    <x v="0"/>
    <n v="3267"/>
    <x v="10"/>
  </r>
  <r>
    <x v="1"/>
    <n v="3694"/>
    <x v="0"/>
  </r>
  <r>
    <x v="1"/>
    <n v="3932"/>
    <x v="1"/>
  </r>
  <r>
    <x v="1"/>
    <n v="4131"/>
    <x v="2"/>
  </r>
  <r>
    <x v="1"/>
    <n v="5144"/>
    <x v="3"/>
  </r>
  <r>
    <x v="1"/>
    <n v="5005"/>
    <x v="4"/>
  </r>
  <r>
    <x v="1"/>
    <n v="4836"/>
    <x v="5"/>
  </r>
  <r>
    <x v="1"/>
    <n v="4697"/>
    <x v="6"/>
  </r>
  <r>
    <x v="1"/>
    <n v="4518"/>
    <x v="7"/>
  </r>
  <r>
    <x v="1"/>
    <n v="4399"/>
    <x v="8"/>
  </r>
  <r>
    <x v="1"/>
    <n v="4230"/>
    <x v="9"/>
  </r>
  <r>
    <x v="1"/>
    <n v="4141"/>
    <x v="10"/>
  </r>
  <r>
    <x v="2"/>
    <n v="3287"/>
    <x v="0"/>
  </r>
  <r>
    <x v="2"/>
    <n v="3505"/>
    <x v="1"/>
  </r>
  <r>
    <x v="2"/>
    <n v="3316"/>
    <x v="2"/>
  </r>
  <r>
    <x v="2"/>
    <n v="3584"/>
    <x v="3"/>
  </r>
  <r>
    <x v="2"/>
    <n v="3435"/>
    <x v="4"/>
  </r>
  <r>
    <x v="2"/>
    <n v="3654"/>
    <x v="5"/>
  </r>
  <r>
    <x v="2"/>
    <n v="3932"/>
    <x v="6"/>
  </r>
  <r>
    <x v="2"/>
    <n v="4180"/>
    <x v="7"/>
  </r>
  <r>
    <x v="2"/>
    <n v="4041"/>
    <x v="8"/>
  </r>
  <r>
    <x v="2"/>
    <n v="3912"/>
    <x v="9"/>
  </r>
  <r>
    <x v="2"/>
    <n v="4180"/>
    <x v="10"/>
  </r>
  <r>
    <x v="3"/>
    <n v="4002"/>
    <x v="0"/>
  </r>
  <r>
    <x v="3"/>
    <n v="3813"/>
    <x v="1"/>
  </r>
  <r>
    <x v="3"/>
    <n v="4021"/>
    <x v="2"/>
  </r>
  <r>
    <x v="3"/>
    <n v="3902"/>
    <x v="3"/>
  </r>
  <r>
    <x v="3"/>
    <n v="3743"/>
    <x v="4"/>
  </r>
  <r>
    <x v="3"/>
    <n v="3654"/>
    <x v="5"/>
  </r>
  <r>
    <x v="3"/>
    <n v="3902"/>
    <x v="6"/>
  </r>
  <r>
    <x v="3"/>
    <n v="3723"/>
    <x v="7"/>
  </r>
  <r>
    <x v="3"/>
    <n v="3992"/>
    <x v="8"/>
  </r>
  <r>
    <x v="3"/>
    <n v="3853"/>
    <x v="9"/>
  </r>
  <r>
    <x v="3"/>
    <n v="3714"/>
    <x v="10"/>
  </r>
  <r>
    <x v="4"/>
    <n v="3674"/>
    <x v="0"/>
  </r>
  <r>
    <x v="4"/>
    <n v="3863"/>
    <x v="1"/>
  </r>
  <r>
    <x v="4"/>
    <n v="3723"/>
    <x v="2"/>
  </r>
  <r>
    <x v="4"/>
    <n v="3525"/>
    <x v="3"/>
  </r>
  <r>
    <x v="4"/>
    <n v="3376"/>
    <x v="4"/>
  </r>
  <r>
    <x v="4"/>
    <n v="3565"/>
    <x v="5"/>
  </r>
  <r>
    <x v="4"/>
    <n v="3843"/>
    <x v="6"/>
  </r>
  <r>
    <x v="4"/>
    <n v="3723"/>
    <x v="7"/>
  </r>
  <r>
    <x v="4"/>
    <n v="3555"/>
    <x v="8"/>
  </r>
  <r>
    <x v="4"/>
    <n v="3426"/>
    <x v="9"/>
  </r>
  <r>
    <x v="4"/>
    <n v="3237"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x v="0"/>
    <n v="101581"/>
    <n v="6"/>
    <n v="60"/>
    <s v="gastalg02"/>
    <s v="Cloud"/>
    <s v="Terminado"/>
    <n v="3575"/>
    <s v="Sin iniciar"/>
    <x v="0"/>
    <m/>
  </r>
  <r>
    <x v="0"/>
    <n v="101581"/>
    <n v="6"/>
    <n v="60"/>
    <s v="gastalg02"/>
    <s v="Cloud"/>
    <s v="Terminado"/>
    <n v="3406"/>
    <m/>
    <x v="1"/>
    <m/>
  </r>
  <r>
    <x v="0"/>
    <n v="101581"/>
    <n v="6"/>
    <n v="60"/>
    <s v="gastalg02"/>
    <s v="Cloud"/>
    <s v="Terminado"/>
    <n v="4061"/>
    <m/>
    <x v="2"/>
    <m/>
  </r>
  <r>
    <x v="0"/>
    <n v="101581"/>
    <n v="6"/>
    <n v="60"/>
    <s v="gastalg02"/>
    <s v="Cloud"/>
    <s v="Terminado"/>
    <n v="3942"/>
    <m/>
    <x v="3"/>
    <m/>
  </r>
  <r>
    <x v="0"/>
    <n v="101581"/>
    <n v="6"/>
    <n v="60"/>
    <s v="gastalg02"/>
    <s v="Cloud"/>
    <s v="Terminado"/>
    <n v="3882"/>
    <m/>
    <x v="4"/>
    <m/>
  </r>
  <r>
    <x v="0"/>
    <n v="101581"/>
    <n v="6"/>
    <n v="60"/>
    <s v="gastalg02"/>
    <s v="Cloud"/>
    <s v="Terminado"/>
    <n v="3753"/>
    <m/>
    <x v="5"/>
    <m/>
  </r>
  <r>
    <x v="0"/>
    <n v="101581"/>
    <n v="6"/>
    <n v="60"/>
    <s v="gastalg02"/>
    <s v="Cloud"/>
    <s v="Terminado"/>
    <n v="3584"/>
    <m/>
    <x v="6"/>
    <m/>
  </r>
  <r>
    <x v="0"/>
    <n v="101581"/>
    <n v="6"/>
    <n v="60"/>
    <s v="gastalg02"/>
    <s v="Cloud"/>
    <s v="Terminado"/>
    <n v="3435"/>
    <m/>
    <x v="7"/>
    <m/>
  </r>
  <r>
    <x v="0"/>
    <n v="101581"/>
    <n v="6"/>
    <n v="60"/>
    <s v="gastalg02"/>
    <s v="Cloud"/>
    <s v="Terminado"/>
    <n v="3296"/>
    <m/>
    <x v="8"/>
    <m/>
  </r>
  <r>
    <x v="0"/>
    <n v="101581"/>
    <n v="6"/>
    <n v="60"/>
    <s v="gastalg02"/>
    <s v="Cloud"/>
    <s v="Terminado"/>
    <n v="3217"/>
    <m/>
    <x v="9"/>
    <m/>
  </r>
  <r>
    <x v="0"/>
    <n v="101581"/>
    <n v="6"/>
    <n v="60"/>
    <s v="gastalg02"/>
    <s v="Cloud"/>
    <s v="Terminado"/>
    <n v="3435"/>
    <m/>
    <x v="10"/>
    <m/>
  </r>
  <r>
    <x v="1"/>
    <n v="153817"/>
    <n v="6"/>
    <n v="60"/>
    <s v="gastalg02"/>
    <s v="Firefox"/>
    <s v="Terminado"/>
    <n v="3157"/>
    <s v="En Proceso"/>
    <x v="0"/>
    <d v="1899-12-30T09:16:03"/>
  </r>
  <r>
    <x v="1"/>
    <n v="153817"/>
    <n v="6"/>
    <n v="60"/>
    <s v="gastalg02"/>
    <s v="Firefox"/>
    <s v="Terminado"/>
    <n v="3058"/>
    <m/>
    <x v="1"/>
    <m/>
  </r>
  <r>
    <x v="1"/>
    <n v="153817"/>
    <n v="6"/>
    <n v="60"/>
    <s v="gastalg02"/>
    <s v="Firefox"/>
    <s v="Terminado"/>
    <n v="2919"/>
    <m/>
    <x v="2"/>
    <m/>
  </r>
  <r>
    <x v="1"/>
    <n v="153817"/>
    <n v="6"/>
    <n v="60"/>
    <s v="gastalg02"/>
    <s v="Firefox"/>
    <s v="Terminado"/>
    <n v="3167"/>
    <m/>
    <x v="3"/>
    <m/>
  </r>
  <r>
    <x v="1"/>
    <n v="153817"/>
    <n v="6"/>
    <n v="60"/>
    <s v="gastalg02"/>
    <s v="Firefox"/>
    <s v="Terminado"/>
    <n v="3078"/>
    <m/>
    <x v="4"/>
    <m/>
  </r>
  <r>
    <x v="1"/>
    <n v="153817"/>
    <n v="6"/>
    <n v="60"/>
    <s v="gastalg02"/>
    <s v="Firefox"/>
    <s v="Terminado"/>
    <n v="3376"/>
    <m/>
    <x v="5"/>
    <m/>
  </r>
  <r>
    <x v="1"/>
    <n v="153817"/>
    <n v="6"/>
    <n v="60"/>
    <s v="gastalg02"/>
    <s v="Firefox"/>
    <s v="Terminado"/>
    <n v="3634"/>
    <m/>
    <x v="6"/>
    <m/>
  </r>
  <r>
    <x v="1"/>
    <n v="153817"/>
    <n v="6"/>
    <n v="60"/>
    <s v="gastalg02"/>
    <s v="Firefox"/>
    <s v="Terminado"/>
    <n v="3535"/>
    <m/>
    <x v="7"/>
    <m/>
  </r>
  <r>
    <x v="1"/>
    <n v="153817"/>
    <n v="6"/>
    <n v="60"/>
    <s v="gastalg02"/>
    <s v="Firefox"/>
    <s v="Terminado"/>
    <n v="3376"/>
    <m/>
    <x v="8"/>
    <m/>
  </r>
  <r>
    <x v="1"/>
    <n v="153817"/>
    <n v="6"/>
    <n v="60"/>
    <s v="gastalg02"/>
    <s v="Firefox"/>
    <s v="Terminado"/>
    <n v="3227"/>
    <m/>
    <x v="9"/>
    <m/>
  </r>
  <r>
    <x v="1"/>
    <n v="153817"/>
    <n v="6"/>
    <n v="60"/>
    <s v="gastalg02"/>
    <s v="Firefox"/>
    <s v="Terminado"/>
    <n v="3038"/>
    <m/>
    <x v="10"/>
    <m/>
  </r>
  <r>
    <x v="2"/>
    <n v="248887"/>
    <n v="6"/>
    <n v="60"/>
    <s v="gastalg02"/>
    <s v="Cloud"/>
    <s v="Terminado"/>
    <n v="2840"/>
    <s v="Terminado"/>
    <x v="0"/>
    <m/>
  </r>
  <r>
    <x v="2"/>
    <n v="248887"/>
    <n v="6"/>
    <n v="60"/>
    <s v="gastalg02"/>
    <s v="Cloud"/>
    <s v="Terminado"/>
    <n v="2671"/>
    <m/>
    <x v="1"/>
    <m/>
  </r>
  <r>
    <x v="2"/>
    <n v="248887"/>
    <n v="6"/>
    <n v="60"/>
    <s v="gastalg02"/>
    <s v="Cloud"/>
    <s v="Terminado"/>
    <n v="2542"/>
    <m/>
    <x v="2"/>
    <m/>
  </r>
  <r>
    <x v="2"/>
    <n v="248887"/>
    <n v="6"/>
    <n v="60"/>
    <s v="gastalg02"/>
    <s v="Cloud"/>
    <s v="Terminado"/>
    <n v="2442"/>
    <m/>
    <x v="3"/>
    <m/>
  </r>
  <r>
    <x v="2"/>
    <n v="248887"/>
    <n v="6"/>
    <n v="60"/>
    <s v="gastalg02"/>
    <s v="Cloud"/>
    <s v="Terminado"/>
    <n v="2681"/>
    <m/>
    <x v="4"/>
    <m/>
  </r>
  <r>
    <x v="2"/>
    <n v="248887"/>
    <n v="6"/>
    <n v="60"/>
    <s v="gastalg02"/>
    <s v="Cloud"/>
    <s v="Terminado"/>
    <n v="2999"/>
    <m/>
    <x v="5"/>
    <m/>
  </r>
  <r>
    <x v="2"/>
    <n v="248887"/>
    <n v="6"/>
    <n v="60"/>
    <s v="gastalg02"/>
    <s v="Cloud"/>
    <s v="Terminado"/>
    <n v="3654"/>
    <m/>
    <x v="6"/>
    <m/>
  </r>
  <r>
    <x v="2"/>
    <n v="248887"/>
    <n v="6"/>
    <n v="60"/>
    <s v="gastalg02"/>
    <s v="Cloud"/>
    <s v="Terminado"/>
    <n v="3919"/>
    <m/>
    <x v="7"/>
    <m/>
  </r>
  <r>
    <x v="2"/>
    <n v="248887"/>
    <n v="6"/>
    <n v="60"/>
    <s v="gastalg02"/>
    <s v="Cloud"/>
    <s v="Terminado"/>
    <n v="3773"/>
    <m/>
    <x v="8"/>
    <m/>
  </r>
  <r>
    <x v="2"/>
    <n v="248887"/>
    <n v="6"/>
    <n v="60"/>
    <s v="gastalg02"/>
    <s v="Cloud"/>
    <s v="Terminado"/>
    <n v="3535"/>
    <m/>
    <x v="9"/>
    <m/>
  </r>
  <r>
    <x v="2"/>
    <n v="248887"/>
    <n v="6"/>
    <n v="60"/>
    <s v="gastalg02"/>
    <s v="Cloud"/>
    <s v="Terminado"/>
    <n v="3406"/>
    <m/>
    <x v="10"/>
    <m/>
  </r>
  <r>
    <x v="3"/>
    <n v="320143"/>
    <n v="6"/>
    <n v="60"/>
    <s v="gastalg02"/>
    <s v="Cloud"/>
    <s v="Terminado"/>
    <n v="3207"/>
    <m/>
    <x v="0"/>
    <m/>
  </r>
  <r>
    <x v="3"/>
    <n v="320143"/>
    <n v="6"/>
    <n v="60"/>
    <s v="gastalg02"/>
    <s v="Cloud"/>
    <s v="Terminado"/>
    <n v="3038"/>
    <m/>
    <x v="1"/>
    <m/>
  </r>
  <r>
    <x v="3"/>
    <n v="320143"/>
    <n v="6"/>
    <n v="60"/>
    <s v="gastalg02"/>
    <s v="Cloud"/>
    <s v="Terminado"/>
    <n v="2929"/>
    <m/>
    <x v="2"/>
    <m/>
  </r>
  <r>
    <x v="3"/>
    <n v="320143"/>
    <n v="6"/>
    <n v="60"/>
    <s v="gastalg02"/>
    <s v="Cloud"/>
    <s v="Terminado"/>
    <n v="2790"/>
    <m/>
    <x v="3"/>
    <m/>
  </r>
  <r>
    <x v="3"/>
    <n v="320143"/>
    <n v="6"/>
    <n v="60"/>
    <s v="gastalg02"/>
    <s v="Cloud"/>
    <s v="Terminado"/>
    <n v="3038"/>
    <m/>
    <x v="4"/>
    <m/>
  </r>
  <r>
    <x v="3"/>
    <n v="320143"/>
    <n v="6"/>
    <n v="60"/>
    <s v="gastalg02"/>
    <s v="Cloud"/>
    <s v="Terminado"/>
    <n v="2889"/>
    <m/>
    <x v="5"/>
    <m/>
  </r>
  <r>
    <x v="3"/>
    <n v="320143"/>
    <n v="6"/>
    <n v="60"/>
    <s v="gastalg02"/>
    <s v="Cloud"/>
    <s v="Terminado"/>
    <n v="2800"/>
    <m/>
    <x v="6"/>
    <m/>
  </r>
  <r>
    <x v="3"/>
    <n v="320143"/>
    <n v="6"/>
    <n v="60"/>
    <s v="gastalg02"/>
    <s v="Cloud"/>
    <s v="Terminado"/>
    <n v="2711"/>
    <m/>
    <x v="7"/>
    <m/>
  </r>
  <r>
    <x v="3"/>
    <n v="320143"/>
    <n v="6"/>
    <n v="60"/>
    <s v="gastalg02"/>
    <s v="Cloud"/>
    <s v="Terminado"/>
    <n v="2969"/>
    <m/>
    <x v="8"/>
    <m/>
  </r>
  <r>
    <x v="3"/>
    <n v="320143"/>
    <n v="6"/>
    <n v="60"/>
    <s v="gastalg02"/>
    <s v="Cloud"/>
    <s v="Terminado"/>
    <n v="2830"/>
    <m/>
    <x v="9"/>
    <m/>
  </r>
  <r>
    <x v="3"/>
    <n v="320143"/>
    <n v="6"/>
    <n v="60"/>
    <s v="gastalg02"/>
    <s v="Cloud"/>
    <s v="Terminado"/>
    <n v="2701"/>
    <m/>
    <x v="10"/>
    <m/>
  </r>
  <r>
    <x v="4"/>
    <n v="403219"/>
    <n v="6"/>
    <n v="60"/>
    <s v="gastalg02"/>
    <s v="Chrome"/>
    <s v="Terminado"/>
    <n v="2909"/>
    <m/>
    <x v="0"/>
    <d v="1899-12-30T13:07:14"/>
  </r>
  <r>
    <x v="4"/>
    <n v="403219"/>
    <n v="6"/>
    <n v="60"/>
    <s v="gastalg02"/>
    <s v="Chrome"/>
    <s v="Terminado"/>
    <n v="2770"/>
    <m/>
    <x v="1"/>
    <m/>
  </r>
  <r>
    <x v="4"/>
    <n v="403219"/>
    <n v="6"/>
    <n v="60"/>
    <s v="gastalg02"/>
    <s v="Chrome"/>
    <s v="Terminado"/>
    <n v="2651"/>
    <m/>
    <x v="2"/>
    <m/>
  </r>
  <r>
    <x v="4"/>
    <n v="403219"/>
    <n v="6"/>
    <n v="60"/>
    <s v="gastalg02"/>
    <s v="Chrome"/>
    <s v="Terminado"/>
    <n v="2949"/>
    <m/>
    <x v="3"/>
    <m/>
  </r>
  <r>
    <x v="4"/>
    <n v="403219"/>
    <n v="6"/>
    <n v="60"/>
    <s v="gastalg02"/>
    <s v="Chrome"/>
    <s v="Terminado"/>
    <n v="2760"/>
    <m/>
    <x v="4"/>
    <m/>
  </r>
  <r>
    <x v="4"/>
    <n v="403219"/>
    <n v="6"/>
    <n v="60"/>
    <s v="gastalg02"/>
    <s v="Chrome"/>
    <s v="Terminado"/>
    <n v="2641"/>
    <m/>
    <x v="5"/>
    <m/>
  </r>
  <r>
    <x v="4"/>
    <n v="403219"/>
    <n v="6"/>
    <n v="60"/>
    <s v="gastalg02"/>
    <s v="Chrome"/>
    <s v="Terminado"/>
    <n v="2820"/>
    <m/>
    <x v="6"/>
    <m/>
  </r>
  <r>
    <x v="4"/>
    <n v="403219"/>
    <n v="6"/>
    <n v="60"/>
    <s v="gastalg02"/>
    <s v="Chrome"/>
    <s v="Terminado"/>
    <n v="2691"/>
    <m/>
    <x v="7"/>
    <m/>
  </r>
  <r>
    <x v="4"/>
    <n v="403219"/>
    <n v="6"/>
    <n v="60"/>
    <s v="gastalg02"/>
    <s v="Chrome"/>
    <s v="Terminado"/>
    <n v="3326"/>
    <m/>
    <x v="8"/>
    <m/>
  </r>
  <r>
    <x v="4"/>
    <n v="403219"/>
    <n v="6"/>
    <n v="60"/>
    <s v="gastalg02"/>
    <s v="Chrome"/>
    <s v="Terminado"/>
    <n v="3187"/>
    <m/>
    <x v="9"/>
    <m/>
  </r>
  <r>
    <x v="4"/>
    <n v="403219"/>
    <n v="6"/>
    <n v="60"/>
    <s v="gastalg02"/>
    <s v="Chrome"/>
    <s v="Terminado"/>
    <n v="1813"/>
    <m/>
    <x v="10"/>
    <m/>
  </r>
  <r>
    <x v="5"/>
    <n v="530797"/>
    <n v="6"/>
    <n v="60"/>
    <s v="gastalg02"/>
    <s v="Cloud"/>
    <s v="Terminado"/>
    <n v="2105"/>
    <m/>
    <x v="0"/>
    <m/>
  </r>
  <r>
    <x v="5"/>
    <n v="530797"/>
    <n v="6"/>
    <n v="60"/>
    <s v="gastalg02"/>
    <s v="Cloud"/>
    <s v="Terminado"/>
    <n v="1986"/>
    <m/>
    <x v="1"/>
    <m/>
  </r>
  <r>
    <x v="5"/>
    <n v="530797"/>
    <n v="6"/>
    <n v="60"/>
    <s v="gastalg02"/>
    <s v="Cloud"/>
    <s v="Terminado"/>
    <n v="1847"/>
    <m/>
    <x v="2"/>
    <m/>
  </r>
  <r>
    <x v="5"/>
    <n v="530797"/>
    <n v="6"/>
    <n v="60"/>
    <s v="gastalg02"/>
    <s v="Cloud"/>
    <s v="Terminado"/>
    <n v="2065"/>
    <m/>
    <x v="3"/>
    <m/>
  </r>
  <r>
    <x v="5"/>
    <n v="530797"/>
    <n v="6"/>
    <n v="60"/>
    <s v="gastalg02"/>
    <s v="Cloud"/>
    <s v="Terminado"/>
    <n v="1916"/>
    <m/>
    <x v="4"/>
    <m/>
  </r>
  <r>
    <x v="5"/>
    <n v="530797"/>
    <n v="6"/>
    <n v="60"/>
    <s v="gastalg02"/>
    <s v="Cloud"/>
    <s v="Terminado"/>
    <n v="2115"/>
    <m/>
    <x v="5"/>
    <m/>
  </r>
  <r>
    <x v="5"/>
    <n v="530797"/>
    <n v="6"/>
    <n v="60"/>
    <s v="gastalg02"/>
    <s v="Cloud"/>
    <s v="Terminado"/>
    <n v="2373"/>
    <m/>
    <x v="6"/>
    <m/>
  </r>
  <r>
    <x v="5"/>
    <n v="530797"/>
    <n v="6"/>
    <n v="60"/>
    <s v="gastalg02"/>
    <s v="Cloud"/>
    <s v="Terminado"/>
    <n v="2234"/>
    <m/>
    <x v="7"/>
    <m/>
  </r>
  <r>
    <x v="5"/>
    <n v="530797"/>
    <n v="6"/>
    <n v="60"/>
    <s v="gastalg02"/>
    <s v="Cloud"/>
    <s v="Terminado"/>
    <n v="3257"/>
    <m/>
    <x v="8"/>
    <m/>
  </r>
  <r>
    <x v="5"/>
    <n v="530797"/>
    <n v="6"/>
    <n v="60"/>
    <s v="gastalg02"/>
    <s v="Cloud"/>
    <s v="Terminado"/>
    <n v="3138"/>
    <m/>
    <x v="9"/>
    <m/>
  </r>
  <r>
    <x v="5"/>
    <n v="530797"/>
    <n v="6"/>
    <n v="60"/>
    <s v="gastalg02"/>
    <s v="Cloud"/>
    <s v="Terminado"/>
    <n v="3028"/>
    <m/>
    <x v="10"/>
    <m/>
  </r>
  <r>
    <x v="6"/>
    <n v="683377"/>
    <n v="6"/>
    <n v="60"/>
    <s v="gastalg02"/>
    <s v="Cloud"/>
    <s v="Terminado"/>
    <n v="3217"/>
    <m/>
    <x v="0"/>
    <m/>
  </r>
  <r>
    <x v="6"/>
    <n v="683377"/>
    <n v="6"/>
    <n v="60"/>
    <s v="gastalg02"/>
    <s v="Cloud"/>
    <s v="Terminado"/>
    <n v="3078"/>
    <m/>
    <x v="1"/>
    <m/>
  </r>
  <r>
    <x v="6"/>
    <n v="683377"/>
    <n v="6"/>
    <n v="60"/>
    <s v="gastalg02"/>
    <s v="Cloud"/>
    <s v="Terminado"/>
    <n v="2989"/>
    <m/>
    <x v="2"/>
    <m/>
  </r>
  <r>
    <x v="6"/>
    <n v="683377"/>
    <n v="6"/>
    <n v="60"/>
    <s v="gastalg02"/>
    <s v="Cloud"/>
    <s v="Terminado"/>
    <n v="2850"/>
    <m/>
    <x v="3"/>
    <m/>
  </r>
  <r>
    <x v="6"/>
    <n v="683377"/>
    <n v="6"/>
    <n v="60"/>
    <s v="gastalg02"/>
    <s v="Cloud"/>
    <s v="Terminado"/>
    <n v="2720"/>
    <m/>
    <x v="4"/>
    <m/>
  </r>
  <r>
    <x v="6"/>
    <n v="683377"/>
    <n v="6"/>
    <n v="60"/>
    <s v="gastalg02"/>
    <s v="Cloud"/>
    <s v="Terminado"/>
    <n v="2929"/>
    <m/>
    <x v="5"/>
    <m/>
  </r>
  <r>
    <x v="6"/>
    <n v="683377"/>
    <n v="6"/>
    <n v="60"/>
    <s v="gastalg02"/>
    <s v="Cloud"/>
    <s v="Terminado"/>
    <n v="3177"/>
    <m/>
    <x v="6"/>
    <m/>
  </r>
  <r>
    <x v="6"/>
    <n v="683377"/>
    <n v="6"/>
    <n v="60"/>
    <s v="gastalg02"/>
    <s v="Cloud"/>
    <s v="Terminado"/>
    <n v="3038"/>
    <m/>
    <x v="7"/>
    <m/>
  </r>
  <r>
    <x v="6"/>
    <n v="683377"/>
    <n v="6"/>
    <n v="60"/>
    <s v="gastalg02"/>
    <s v="Cloud"/>
    <s v="Terminado"/>
    <n v="2919"/>
    <m/>
    <x v="8"/>
    <m/>
  </r>
  <r>
    <x v="6"/>
    <n v="683377"/>
    <n v="6"/>
    <n v="60"/>
    <s v="gastalg02"/>
    <s v="Cloud"/>
    <s v="Terminado"/>
    <n v="2760"/>
    <m/>
    <x v="9"/>
    <m/>
  </r>
  <r>
    <x v="6"/>
    <n v="683377"/>
    <n v="6"/>
    <n v="60"/>
    <s v="gastalg02"/>
    <s v="Cloud"/>
    <s v="Terminado"/>
    <n v="2601"/>
    <m/>
    <x v="10"/>
    <m/>
  </r>
  <r>
    <x v="7"/>
    <n v="797399"/>
    <n v="6"/>
    <n v="60"/>
    <s v="gastalg02"/>
    <s v="Cloud"/>
    <s v="Terminado"/>
    <n v="2820"/>
    <m/>
    <x v="0"/>
    <m/>
  </r>
  <r>
    <x v="7"/>
    <n v="797399"/>
    <n v="6"/>
    <n v="60"/>
    <s v="gastalg02"/>
    <s v="Cloud"/>
    <s v="Terminado"/>
    <n v="3078"/>
    <m/>
    <x v="1"/>
    <m/>
  </r>
  <r>
    <x v="7"/>
    <n v="797399"/>
    <n v="6"/>
    <n v="60"/>
    <s v="gastalg02"/>
    <s v="Cloud"/>
    <s v="Terminado"/>
    <n v="2899"/>
    <m/>
    <x v="2"/>
    <m/>
  </r>
  <r>
    <x v="7"/>
    <n v="797399"/>
    <n v="6"/>
    <n v="60"/>
    <s v="gastalg02"/>
    <s v="Cloud"/>
    <s v="Terminado"/>
    <n v="2800"/>
    <m/>
    <x v="3"/>
    <m/>
  </r>
  <r>
    <x v="7"/>
    <n v="797399"/>
    <n v="6"/>
    <n v="60"/>
    <s v="gastalg02"/>
    <s v="Cloud"/>
    <s v="Terminado"/>
    <n v="2671"/>
    <m/>
    <x v="4"/>
    <m/>
  </r>
  <r>
    <x v="7"/>
    <n v="797399"/>
    <n v="6"/>
    <n v="60"/>
    <s v="gastalg02"/>
    <s v="Cloud"/>
    <s v="Terminado"/>
    <n v="2522"/>
    <m/>
    <x v="5"/>
    <m/>
  </r>
  <r>
    <x v="7"/>
    <n v="797399"/>
    <n v="6"/>
    <n v="60"/>
    <s v="gastalg02"/>
    <s v="Cloud"/>
    <s v="Terminado"/>
    <n v="2830"/>
    <m/>
    <x v="6"/>
    <m/>
  </r>
  <r>
    <x v="7"/>
    <n v="797399"/>
    <n v="6"/>
    <n v="60"/>
    <s v="gastalg02"/>
    <s v="Cloud"/>
    <s v="Terminado"/>
    <n v="2671"/>
    <m/>
    <x v="7"/>
    <m/>
  </r>
  <r>
    <x v="7"/>
    <n v="797399"/>
    <n v="6"/>
    <n v="60"/>
    <s v="gastalg02"/>
    <s v="Cloud"/>
    <s v="Terminado"/>
    <n v="2512"/>
    <m/>
    <x v="8"/>
    <m/>
  </r>
  <r>
    <x v="7"/>
    <n v="797399"/>
    <n v="6"/>
    <n v="60"/>
    <s v="gastalg02"/>
    <s v="Cloud"/>
    <s v="Terminado"/>
    <n v="2333"/>
    <m/>
    <x v="9"/>
    <m/>
  </r>
  <r>
    <x v="7"/>
    <n v="797399"/>
    <n v="6"/>
    <n v="60"/>
    <s v="gastalg02"/>
    <s v="Cloud"/>
    <s v="Terminado"/>
    <n v="2532"/>
    <m/>
    <x v="10"/>
    <m/>
  </r>
  <r>
    <x v="8"/>
    <n v="877411"/>
    <n v="6"/>
    <n v="60"/>
    <s v="gastalg02"/>
    <s v="Cloud"/>
    <s v="Terminado"/>
    <n v="2929"/>
    <m/>
    <x v="0"/>
    <m/>
  </r>
  <r>
    <x v="8"/>
    <n v="877411"/>
    <n v="6"/>
    <n v="60"/>
    <s v="gastalg02"/>
    <s v="Cloud"/>
    <s v="Terminado"/>
    <n v="2820"/>
    <m/>
    <x v="1"/>
    <m/>
  </r>
  <r>
    <x v="8"/>
    <n v="877411"/>
    <n v="6"/>
    <n v="60"/>
    <s v="gastalg02"/>
    <s v="Cloud"/>
    <s v="Terminado"/>
    <n v="3406"/>
    <m/>
    <x v="2"/>
    <m/>
  </r>
  <r>
    <x v="8"/>
    <n v="877411"/>
    <n v="6"/>
    <n v="60"/>
    <s v="gastalg02"/>
    <s v="Cloud"/>
    <s v="Terminado"/>
    <n v="3227"/>
    <m/>
    <x v="3"/>
    <m/>
  </r>
  <r>
    <x v="8"/>
    <n v="877411"/>
    <n v="6"/>
    <n v="60"/>
    <s v="gastalg02"/>
    <s v="Cloud"/>
    <s v="Terminado"/>
    <n v="3088"/>
    <m/>
    <x v="4"/>
    <m/>
  </r>
  <r>
    <x v="8"/>
    <n v="877411"/>
    <n v="6"/>
    <n v="60"/>
    <s v="gastalg02"/>
    <s v="Cloud"/>
    <s v="Terminado"/>
    <n v="3306"/>
    <m/>
    <x v="5"/>
    <m/>
  </r>
  <r>
    <x v="8"/>
    <n v="877411"/>
    <n v="6"/>
    <n v="60"/>
    <s v="gastalg02"/>
    <s v="Cloud"/>
    <s v="Terminado"/>
    <n v="3128"/>
    <m/>
    <x v="6"/>
    <m/>
  </r>
  <r>
    <x v="8"/>
    <n v="877411"/>
    <n v="6"/>
    <n v="60"/>
    <s v="gastalg02"/>
    <s v="Cloud"/>
    <s v="Terminado"/>
    <n v="3376"/>
    <m/>
    <x v="7"/>
    <m/>
  </r>
  <r>
    <x v="8"/>
    <n v="877411"/>
    <n v="6"/>
    <n v="60"/>
    <s v="gastalg02"/>
    <s v="Cloud"/>
    <s v="Terminado"/>
    <n v="3654"/>
    <m/>
    <x v="8"/>
    <m/>
  </r>
  <r>
    <x v="8"/>
    <n v="877411"/>
    <n v="6"/>
    <n v="60"/>
    <s v="gastalg02"/>
    <s v="Cloud"/>
    <s v="Terminado"/>
    <n v="3535"/>
    <m/>
    <x v="9"/>
    <m/>
  </r>
  <r>
    <x v="8"/>
    <n v="877411"/>
    <n v="6"/>
    <n v="60"/>
    <s v="gastalg02"/>
    <s v="Cloud"/>
    <s v="Terminado"/>
    <n v="3366"/>
    <m/>
    <x v="10"/>
    <m/>
  </r>
  <r>
    <x v="9"/>
    <n v="979873"/>
    <n v="6"/>
    <n v="60"/>
    <s v="gastalg02"/>
    <s v="Cloud"/>
    <s v="Sin iniciar"/>
    <m/>
    <m/>
    <x v="0"/>
    <m/>
  </r>
  <r>
    <x v="9"/>
    <n v="979873"/>
    <n v="6"/>
    <n v="60"/>
    <s v="gastalg02"/>
    <s v="Cloud"/>
    <s v="Sin iniciar"/>
    <m/>
    <m/>
    <x v="1"/>
    <m/>
  </r>
  <r>
    <x v="9"/>
    <n v="979873"/>
    <n v="6"/>
    <n v="60"/>
    <s v="gastalg02"/>
    <s v="Cloud"/>
    <s v="Sin iniciar"/>
    <m/>
    <m/>
    <x v="2"/>
    <m/>
  </r>
  <r>
    <x v="9"/>
    <n v="979873"/>
    <n v="6"/>
    <n v="60"/>
    <s v="gastalg02"/>
    <s v="Cloud"/>
    <s v="Sin iniciar"/>
    <m/>
    <m/>
    <x v="3"/>
    <m/>
  </r>
  <r>
    <x v="9"/>
    <n v="979873"/>
    <n v="6"/>
    <n v="60"/>
    <s v="gastalg02"/>
    <s v="Cloud"/>
    <s v="Sin iniciar"/>
    <m/>
    <m/>
    <x v="4"/>
    <m/>
  </r>
  <r>
    <x v="9"/>
    <n v="979873"/>
    <n v="6"/>
    <n v="60"/>
    <s v="gastalg02"/>
    <s v="Cloud"/>
    <s v="Sin iniciar"/>
    <m/>
    <m/>
    <x v="5"/>
    <m/>
  </r>
  <r>
    <x v="9"/>
    <n v="979873"/>
    <n v="6"/>
    <n v="60"/>
    <s v="gastalg02"/>
    <s v="Cloud"/>
    <s v="Sin iniciar"/>
    <m/>
    <m/>
    <x v="6"/>
    <m/>
  </r>
  <r>
    <x v="9"/>
    <n v="979873"/>
    <n v="6"/>
    <n v="60"/>
    <s v="gastalg02"/>
    <s v="Cloud"/>
    <s v="Sin iniciar"/>
    <m/>
    <m/>
    <x v="7"/>
    <m/>
  </r>
  <r>
    <x v="9"/>
    <n v="979873"/>
    <n v="6"/>
    <n v="60"/>
    <s v="gastalg02"/>
    <s v="Cloud"/>
    <s v="Sin iniciar"/>
    <m/>
    <m/>
    <x v="8"/>
    <m/>
  </r>
  <r>
    <x v="9"/>
    <n v="979873"/>
    <n v="6"/>
    <n v="60"/>
    <s v="gastalg02"/>
    <s v="Cloud"/>
    <s v="Sin iniciar"/>
    <m/>
    <m/>
    <x v="9"/>
    <m/>
  </r>
  <r>
    <x v="9"/>
    <n v="979873"/>
    <n v="6"/>
    <n v="60"/>
    <s v="gastalg02"/>
    <s v="Cloud"/>
    <s v="Sin iniciar"/>
    <m/>
    <m/>
    <x v="1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ECFD0F-A11F-49DE-80F4-0063A0DE933E}" name="TablaDinámica16" cacheId="7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65:G78" firstHeaderRow="1" firstDataRow="2" firstDataCol="1"/>
  <pivotFields count="3">
    <pivotField axis="axisCol" showAll="0">
      <items count="7">
        <item x="0"/>
        <item x="1"/>
        <item x="2"/>
        <item x="3"/>
        <item x="4"/>
        <item h="1" m="1" x="5"/>
        <item t="default"/>
      </items>
    </pivotField>
    <pivotField dataField="1" numFmtId="3"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Promedio de Ganancia" fld="1" subtotal="average" baseField="0" baseItem="0" numFmtId="3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77B24-18DD-4435-8AF4-C88FEBC8B419}" name="TablaDinámica19" cacheId="8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14:L127" firstHeaderRow="1" firstDataRow="2" firstDataCol="1"/>
  <pivotFields count="11"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Promedio de Ganancia" fld="7" subtotal="average" baseField="9" baseItem="0"/>
  </dataField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E97867-6EAF-4EC2-B6BD-D885BC83A77B}" name="Tabla4" displayName="Tabla4" ref="D8:E9" totalsRowShown="0">
  <autoFilter ref="D8:E9" xr:uid="{E6E97867-6EAF-4EC2-B6BD-D885BC83A77B}"/>
  <tableColumns count="2">
    <tableColumn id="1" xr3:uid="{A66D76D7-74B6-4893-B896-ACCF065212EC}" name="HT"/>
    <tableColumn id="2" xr3:uid="{87D51D29-0C69-48C9-902C-B9B8FDE73CB6}" name="I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DE0C83-265E-4C17-8DA0-BC3B3026FCAB}" name="Tabla16" displayName="Tabla16" ref="D1:H17" totalsRowShown="0" headerRowDxfId="37" dataDxfId="36" headerRowBorderDxfId="34" tableBorderDxfId="35">
  <tableColumns count="5">
    <tableColumn id="1" xr3:uid="{6A1591F5-481E-483C-A6AA-8478F1A2FB61}" name="Hiperparámetro" dataDxfId="33"/>
    <tableColumn id="2" xr3:uid="{5164E331-3A30-4488-B13A-D622188DCE19}" name="BO- mín" dataDxfId="32"/>
    <tableColumn id="3" xr3:uid="{B89F32F2-071A-46DB-B77F-DD9DBB03FD61}" name="BO - máx" dataDxfId="31"/>
    <tableColumn id="4" xr3:uid="{7C0317A0-7266-4F16-904E-9010AB135498}" name="LightGBM (default)" dataDxfId="30"/>
    <tableColumn id="5" xr3:uid="{E1224C5B-2CA5-4180-888F-2CA34B6FCFB7}" name="Descripción breve" dataDxfId="2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76A4D7-9B72-4FA2-8173-A32B64EEE6F9}" name="Tabla2" displayName="Tabla2" ref="E20:F21" totalsRowShown="0" headerRowDxfId="25" headerRowBorderDxfId="27" tableBorderDxfId="28" totalsRowBorderDxfId="26">
  <autoFilter ref="E20:F21" xr:uid="{4E76A4D7-9B72-4FA2-8173-A32B64EEE6F9}"/>
  <tableColumns count="2">
    <tableColumn id="1" xr3:uid="{ADBE0552-8D18-4DB4-B763-0CD873E6F04C}" name="HT"/>
    <tableColumn id="2" xr3:uid="{49D31B1B-F498-4F8B-8842-B8C3675A5689}" name="IT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28FDFA-A726-4ACE-ADF5-A8F4DEC8FDCD}" name="Tabla36" displayName="Tabla36" ref="P1:P4" totalsRowShown="0" headerRowDxfId="22" tableBorderDxfId="21">
  <autoFilter ref="P1:P4" xr:uid="{8428FDFA-A726-4ACE-ADF5-A8F4DEC8FDCD}"/>
  <tableColumns count="1">
    <tableColumn id="1" xr3:uid="{31098E90-F51E-4F88-8452-2A05E91C3739}" name="Status" dataDxfId="20"/>
  </tableColumns>
  <tableStyleInfo name="TableStyleLight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F5795F-713C-4354-8E56-405F52346BDD}" name="Tabla3" displayName="Tabla3" ref="S1:S4" totalsRowShown="0" headerRowDxfId="24" tableBorderDxfId="23">
  <autoFilter ref="S1:S4" xr:uid="{12F5795F-713C-4354-8E56-405F52346BDD}"/>
  <tableColumns count="1">
    <tableColumn id="1" xr3:uid="{51A1A75B-1DAB-4801-AD76-38085A3DB7CE}" name="Status"/>
  </tableColumns>
  <tableStyleInfo name="TableStyleLight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14A2499-8261-4480-BD1A-165A6AA62E23}" name="Tabla37" displayName="Tabla37" ref="S1:S4" totalsRowShown="0" headerRowDxfId="19" tableBorderDxfId="18">
  <autoFilter ref="S1:S4" xr:uid="{314A2499-8261-4480-BD1A-165A6AA62E23}"/>
  <tableColumns count="1">
    <tableColumn id="1" xr3:uid="{7052EE6C-F69B-4215-A07F-309B95C061E3}" name="Status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9C4F4-1150-4E0E-BA6A-611135D12DB6}">
  <dimension ref="A1:E12"/>
  <sheetViews>
    <sheetView workbookViewId="0">
      <selection activeCell="C28" sqref="C28"/>
    </sheetView>
  </sheetViews>
  <sheetFormatPr baseColWidth="10" defaultRowHeight="14.5"/>
  <cols>
    <col min="1" max="1" width="43.7265625" bestFit="1" customWidth="1"/>
    <col min="2" max="2" width="12.08984375" bestFit="1" customWidth="1"/>
    <col min="3" max="3" width="4.453125" customWidth="1"/>
    <col min="4" max="4" width="5.54296875" bestFit="1" customWidth="1"/>
    <col min="5" max="5" width="7.08984375" bestFit="1" customWidth="1"/>
  </cols>
  <sheetData>
    <row r="1" spans="1:5">
      <c r="A1" s="2" t="s">
        <v>0</v>
      </c>
      <c r="B1" s="2" t="s">
        <v>11</v>
      </c>
    </row>
    <row r="2" spans="1:5">
      <c r="A2" s="3" t="s">
        <v>10</v>
      </c>
      <c r="B2" s="2" t="s">
        <v>12</v>
      </c>
    </row>
    <row r="3" spans="1:5">
      <c r="A3" s="3" t="s">
        <v>85</v>
      </c>
      <c r="B3" s="2" t="s">
        <v>12</v>
      </c>
    </row>
    <row r="4" spans="1:5">
      <c r="A4" s="3" t="s">
        <v>86</v>
      </c>
      <c r="B4" s="2" t="s">
        <v>12</v>
      </c>
    </row>
    <row r="5" spans="1:5">
      <c r="A5" s="3" t="s">
        <v>87</v>
      </c>
      <c r="B5" s="2" t="s">
        <v>12</v>
      </c>
    </row>
    <row r="6" spans="1:5">
      <c r="A6" s="3" t="s">
        <v>88</v>
      </c>
      <c r="B6" s="2" t="s">
        <v>12</v>
      </c>
    </row>
    <row r="7" spans="1:5">
      <c r="A7" t="s">
        <v>1</v>
      </c>
      <c r="B7" s="2"/>
    </row>
    <row r="8" spans="1:5">
      <c r="A8" s="2" t="s">
        <v>2</v>
      </c>
      <c r="B8" s="2"/>
      <c r="D8" t="s">
        <v>53</v>
      </c>
      <c r="E8" t="s">
        <v>54</v>
      </c>
    </row>
    <row r="9" spans="1:5">
      <c r="A9" s="2" t="s">
        <v>3</v>
      </c>
      <c r="B9" s="2"/>
      <c r="D9">
        <v>2</v>
      </c>
      <c r="E9">
        <v>10</v>
      </c>
    </row>
    <row r="10" spans="1:5">
      <c r="A10" t="s">
        <v>89</v>
      </c>
      <c r="B10" s="2" t="s">
        <v>12</v>
      </c>
    </row>
    <row r="11" spans="1:5">
      <c r="A11" t="s">
        <v>4</v>
      </c>
      <c r="B11" s="2" t="s">
        <v>12</v>
      </c>
    </row>
    <row r="12" spans="1:5">
      <c r="B1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EB73-AE95-4AF0-A448-0B3BC56D6484}">
  <dimension ref="A1:H21"/>
  <sheetViews>
    <sheetView workbookViewId="0">
      <selection activeCell="A30" sqref="A30"/>
    </sheetView>
  </sheetViews>
  <sheetFormatPr baseColWidth="10" defaultRowHeight="14.5"/>
  <cols>
    <col min="1" max="1" width="45.81640625" bestFit="1" customWidth="1"/>
    <col min="2" max="2" width="12.08984375" bestFit="1" customWidth="1"/>
    <col min="3" max="3" width="2.81640625" customWidth="1"/>
    <col min="4" max="4" width="21" bestFit="1" customWidth="1"/>
    <col min="5" max="5" width="9.26953125" bestFit="1" customWidth="1"/>
    <col min="6" max="6" width="9" bestFit="1" customWidth="1"/>
    <col min="7" max="7" width="17.7265625" bestFit="1" customWidth="1"/>
    <col min="8" max="8" width="84.08984375" bestFit="1" customWidth="1"/>
  </cols>
  <sheetData>
    <row r="1" spans="1:8" ht="16">
      <c r="A1" s="2" t="s">
        <v>0</v>
      </c>
      <c r="B1" s="2" t="s">
        <v>11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</row>
    <row r="2" spans="1:8" ht="16">
      <c r="A2" s="3" t="s">
        <v>10</v>
      </c>
      <c r="B2" s="2" t="s">
        <v>12</v>
      </c>
      <c r="D2" s="5" t="s">
        <v>21</v>
      </c>
      <c r="E2" s="5">
        <v>2</v>
      </c>
      <c r="F2" s="5">
        <v>8192</v>
      </c>
      <c r="G2" s="5">
        <v>31</v>
      </c>
      <c r="H2" s="5" t="s">
        <v>22</v>
      </c>
    </row>
    <row r="3" spans="1:8" ht="16">
      <c r="A3" t="s">
        <v>1</v>
      </c>
      <c r="B3" s="2"/>
      <c r="D3" s="5" t="s">
        <v>23</v>
      </c>
      <c r="E3" s="5">
        <v>3</v>
      </c>
      <c r="F3" s="5">
        <v>30</v>
      </c>
      <c r="G3" s="5">
        <v>-1</v>
      </c>
      <c r="H3" s="5" t="s">
        <v>24</v>
      </c>
    </row>
    <row r="4" spans="1:8" ht="16">
      <c r="A4" s="2" t="s">
        <v>2</v>
      </c>
      <c r="B4" s="2"/>
      <c r="D4" s="5" t="s">
        <v>25</v>
      </c>
      <c r="E4" s="5">
        <v>1E-3</v>
      </c>
      <c r="F4" s="5">
        <v>10</v>
      </c>
      <c r="G4" s="5">
        <v>1E-3</v>
      </c>
      <c r="H4" s="5" t="s">
        <v>26</v>
      </c>
    </row>
    <row r="5" spans="1:8" ht="16">
      <c r="A5" s="2" t="s">
        <v>3</v>
      </c>
      <c r="B5" s="2"/>
      <c r="D5" s="5" t="s">
        <v>27</v>
      </c>
      <c r="E5" s="5">
        <v>2</v>
      </c>
      <c r="F5" s="5">
        <v>8192</v>
      </c>
      <c r="G5" s="5">
        <v>20</v>
      </c>
      <c r="H5" s="5" t="s">
        <v>28</v>
      </c>
    </row>
    <row r="6" spans="1:8" ht="16">
      <c r="A6" t="s">
        <v>13</v>
      </c>
      <c r="B6" s="2" t="s">
        <v>12</v>
      </c>
      <c r="D6" s="5" t="s">
        <v>29</v>
      </c>
      <c r="E6" s="5">
        <v>0</v>
      </c>
      <c r="F6" s="5">
        <v>0.1</v>
      </c>
      <c r="G6" s="5">
        <v>0</v>
      </c>
      <c r="H6" s="5" t="s">
        <v>30</v>
      </c>
    </row>
    <row r="7" spans="1:8" ht="16">
      <c r="A7" t="s">
        <v>4</v>
      </c>
      <c r="B7" s="2" t="s">
        <v>12</v>
      </c>
      <c r="D7" s="5" t="s">
        <v>31</v>
      </c>
      <c r="E7" s="5">
        <v>0</v>
      </c>
      <c r="F7" s="5">
        <v>1000</v>
      </c>
      <c r="G7" s="5">
        <v>0</v>
      </c>
      <c r="H7" s="5" t="s">
        <v>32</v>
      </c>
    </row>
    <row r="8" spans="1:8" ht="16">
      <c r="B8" s="2"/>
      <c r="D8" s="5" t="s">
        <v>33</v>
      </c>
      <c r="E8" s="5">
        <v>0</v>
      </c>
      <c r="F8" s="5">
        <v>1000</v>
      </c>
      <c r="G8" s="5">
        <v>0</v>
      </c>
      <c r="H8" s="5" t="s">
        <v>34</v>
      </c>
    </row>
    <row r="9" spans="1:8" ht="16">
      <c r="A9" s="2" t="s">
        <v>5</v>
      </c>
      <c r="B9" s="2"/>
      <c r="D9" s="5" t="s">
        <v>35</v>
      </c>
      <c r="E9" s="5">
        <v>1</v>
      </c>
      <c r="F9" s="5">
        <v>5</v>
      </c>
      <c r="G9" s="5">
        <v>1</v>
      </c>
      <c r="H9" s="5" t="s">
        <v>36</v>
      </c>
    </row>
    <row r="10" spans="1:8" ht="16">
      <c r="A10" t="s">
        <v>14</v>
      </c>
      <c r="B10" s="2" t="s">
        <v>12</v>
      </c>
      <c r="D10" s="5" t="s">
        <v>37</v>
      </c>
      <c r="E10" s="5">
        <v>5.0000000000000001E-3</v>
      </c>
      <c r="F10" s="5">
        <v>0.1</v>
      </c>
      <c r="G10" s="5">
        <v>0.1</v>
      </c>
      <c r="H10" s="5" t="s">
        <v>38</v>
      </c>
    </row>
    <row r="11" spans="1:8" ht="16">
      <c r="B11" s="2"/>
      <c r="D11" s="5" t="s">
        <v>39</v>
      </c>
      <c r="E11" s="5">
        <v>100</v>
      </c>
      <c r="F11" s="5">
        <v>5000</v>
      </c>
      <c r="G11" s="5">
        <v>100</v>
      </c>
      <c r="H11" s="5" t="s">
        <v>40</v>
      </c>
    </row>
    <row r="12" spans="1:8" ht="16">
      <c r="A12" s="2" t="s">
        <v>6</v>
      </c>
      <c r="B12" s="2"/>
      <c r="D12" s="5" t="s">
        <v>41</v>
      </c>
      <c r="E12" s="5">
        <v>50</v>
      </c>
      <c r="F12" s="5">
        <v>500</v>
      </c>
      <c r="G12" s="5">
        <v>0</v>
      </c>
      <c r="H12" s="5" t="s">
        <v>42</v>
      </c>
    </row>
    <row r="13" spans="1:8" ht="16">
      <c r="A13" t="s">
        <v>7</v>
      </c>
      <c r="B13" s="2" t="s">
        <v>12</v>
      </c>
      <c r="D13" s="5" t="s">
        <v>43</v>
      </c>
      <c r="E13" s="5">
        <v>0.05</v>
      </c>
      <c r="F13" s="5">
        <v>1</v>
      </c>
      <c r="G13" s="5">
        <v>1</v>
      </c>
      <c r="H13" s="5" t="s">
        <v>44</v>
      </c>
    </row>
    <row r="14" spans="1:8" ht="16">
      <c r="A14" t="s">
        <v>8</v>
      </c>
      <c r="B14" s="2" t="s">
        <v>12</v>
      </c>
      <c r="D14" s="5" t="s">
        <v>45</v>
      </c>
      <c r="E14" s="5">
        <v>0.5</v>
      </c>
      <c r="F14" s="5">
        <v>1</v>
      </c>
      <c r="G14" s="5">
        <v>1</v>
      </c>
      <c r="H14" s="5" t="s">
        <v>46</v>
      </c>
    </row>
    <row r="15" spans="1:8" ht="16">
      <c r="B15" s="2"/>
      <c r="D15" s="5" t="s">
        <v>47</v>
      </c>
      <c r="E15" s="5">
        <v>0</v>
      </c>
      <c r="F15" s="5">
        <v>5</v>
      </c>
      <c r="G15" s="5">
        <v>0</v>
      </c>
      <c r="H15" s="5" t="s">
        <v>48</v>
      </c>
    </row>
    <row r="16" spans="1:8" ht="16">
      <c r="A16" s="2" t="s">
        <v>9</v>
      </c>
      <c r="B16" s="2"/>
      <c r="D16" s="5" t="s">
        <v>49</v>
      </c>
      <c r="E16" s="5">
        <v>0</v>
      </c>
      <c r="F16" s="5">
        <v>10</v>
      </c>
      <c r="G16" s="5">
        <v>0</v>
      </c>
      <c r="H16" s="5" t="s">
        <v>50</v>
      </c>
    </row>
    <row r="17" spans="1:8" ht="16">
      <c r="A17" t="s">
        <v>15</v>
      </c>
      <c r="B17" s="2" t="s">
        <v>12</v>
      </c>
      <c r="D17" s="5" t="s">
        <v>51</v>
      </c>
      <c r="E17" s="5">
        <v>0</v>
      </c>
      <c r="F17" s="5">
        <v>10</v>
      </c>
      <c r="G17" s="5">
        <v>0</v>
      </c>
      <c r="H17" s="5" t="s">
        <v>52</v>
      </c>
    </row>
    <row r="20" spans="1:8">
      <c r="E20" s="7" t="s">
        <v>53</v>
      </c>
      <c r="F20" s="7" t="s">
        <v>54</v>
      </c>
    </row>
    <row r="21" spans="1:8">
      <c r="E21" s="6">
        <v>6</v>
      </c>
      <c r="F21" s="6">
        <v>60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F289-53B8-4325-A687-06AE30BD3A65}">
  <dimension ref="A1:Q78"/>
  <sheetViews>
    <sheetView topLeftCell="G13" workbookViewId="0">
      <selection activeCell="I46" sqref="I46:I56"/>
    </sheetView>
  </sheetViews>
  <sheetFormatPr baseColWidth="10" defaultRowHeight="14.5"/>
  <cols>
    <col min="1" max="1" width="20.453125" bestFit="1" customWidth="1"/>
    <col min="2" max="2" width="21.90625" bestFit="1" customWidth="1"/>
    <col min="3" max="6" width="7.453125" bestFit="1" customWidth="1"/>
    <col min="7" max="7" width="12" bestFit="1" customWidth="1"/>
    <col min="8" max="8" width="5.36328125" style="38" bestFit="1" customWidth="1"/>
    <col min="9" max="9" width="5.36328125" bestFit="1" customWidth="1"/>
    <col min="10" max="10" width="5.36328125" style="38" bestFit="1" customWidth="1"/>
    <col min="11" max="12" width="5.36328125" bestFit="1" customWidth="1"/>
    <col min="13" max="13" width="12" bestFit="1" customWidth="1"/>
    <col min="14" max="14" width="20.453125" bestFit="1" customWidth="1"/>
    <col min="15" max="15" width="21.90625" bestFit="1" customWidth="1"/>
    <col min="16" max="16" width="10.90625" hidden="1" customWidth="1"/>
    <col min="17" max="17" width="12" bestFit="1" customWidth="1"/>
    <col min="18" max="20" width="7.453125" bestFit="1" customWidth="1"/>
    <col min="21" max="21" width="12" bestFit="1" customWidth="1"/>
  </cols>
  <sheetData>
    <row r="1" spans="1:16" ht="15" thickBot="1">
      <c r="A1" s="8" t="s">
        <v>55</v>
      </c>
      <c r="B1" s="9" t="s">
        <v>56</v>
      </c>
      <c r="C1" s="9" t="s">
        <v>57</v>
      </c>
      <c r="D1" s="10" t="s">
        <v>59</v>
      </c>
      <c r="E1" s="10" t="s">
        <v>60</v>
      </c>
      <c r="F1" s="10" t="s">
        <v>61</v>
      </c>
      <c r="G1" s="9" t="s">
        <v>58</v>
      </c>
      <c r="H1" s="61" t="s">
        <v>62</v>
      </c>
      <c r="I1" s="62" t="s">
        <v>63</v>
      </c>
      <c r="J1" s="34" t="s">
        <v>91</v>
      </c>
      <c r="K1" s="8" t="s">
        <v>65</v>
      </c>
      <c r="P1" s="12" t="s">
        <v>61</v>
      </c>
    </row>
    <row r="2" spans="1:16" ht="15.5" thickTop="1" thickBot="1">
      <c r="A2" s="44">
        <v>101581</v>
      </c>
      <c r="B2" s="44">
        <v>2</v>
      </c>
      <c r="C2" s="44">
        <v>10</v>
      </c>
      <c r="D2" s="44" t="s">
        <v>66</v>
      </c>
      <c r="E2" s="44" t="s">
        <v>67</v>
      </c>
      <c r="F2" s="42" t="s">
        <v>68</v>
      </c>
      <c r="G2" s="68" t="s">
        <v>90</v>
      </c>
      <c r="H2" s="35">
        <v>3634</v>
      </c>
      <c r="I2" s="19">
        <v>800</v>
      </c>
      <c r="J2" s="40">
        <f>MEDIAN(H2:H12)</f>
        <v>3594</v>
      </c>
      <c r="K2" s="40">
        <f>AVERAGE(H2:H12)</f>
        <v>3540.181818181818</v>
      </c>
      <c r="P2" s="52" t="s">
        <v>77</v>
      </c>
    </row>
    <row r="3" spans="1:16" ht="15.5" thickTop="1" thickBot="1">
      <c r="A3" s="45"/>
      <c r="B3" s="45"/>
      <c r="C3" s="45"/>
      <c r="D3" s="45"/>
      <c r="E3" s="45"/>
      <c r="F3" s="43"/>
      <c r="G3" s="68" t="s">
        <v>90</v>
      </c>
      <c r="H3" s="35">
        <v>3843</v>
      </c>
      <c r="I3" s="19">
        <v>850</v>
      </c>
      <c r="J3" s="41"/>
      <c r="K3" s="41"/>
      <c r="P3" s="57" t="s">
        <v>69</v>
      </c>
    </row>
    <row r="4" spans="1:16" ht="15.5" thickTop="1" thickBot="1">
      <c r="A4" s="45"/>
      <c r="B4" s="45"/>
      <c r="C4" s="45"/>
      <c r="D4" s="45"/>
      <c r="E4" s="45"/>
      <c r="F4" s="43"/>
      <c r="G4" s="68" t="s">
        <v>90</v>
      </c>
      <c r="H4" s="35">
        <v>3654</v>
      </c>
      <c r="I4" s="19">
        <v>900</v>
      </c>
      <c r="J4" s="41"/>
      <c r="K4" s="41"/>
      <c r="P4" s="64" t="s">
        <v>68</v>
      </c>
    </row>
    <row r="5" spans="1:16" ht="15.5" thickTop="1" thickBot="1">
      <c r="A5" s="45"/>
      <c r="B5" s="45"/>
      <c r="C5" s="45"/>
      <c r="D5" s="45"/>
      <c r="E5" s="45"/>
      <c r="F5" s="43"/>
      <c r="G5" s="68" t="s">
        <v>90</v>
      </c>
      <c r="H5" s="35">
        <v>3912</v>
      </c>
      <c r="I5" s="19">
        <v>950</v>
      </c>
      <c r="J5" s="41"/>
      <c r="K5" s="41"/>
    </row>
    <row r="6" spans="1:16" ht="15.5" thickTop="1" thickBot="1">
      <c r="A6" s="45"/>
      <c r="B6" s="45"/>
      <c r="C6" s="45"/>
      <c r="D6" s="45"/>
      <c r="E6" s="45"/>
      <c r="F6" s="43"/>
      <c r="G6" s="68" t="s">
        <v>90</v>
      </c>
      <c r="H6" s="35">
        <v>3723</v>
      </c>
      <c r="I6" s="19">
        <v>1000</v>
      </c>
      <c r="J6" s="41"/>
      <c r="K6" s="41"/>
    </row>
    <row r="7" spans="1:16" ht="15.5" thickTop="1" thickBot="1">
      <c r="A7" s="45"/>
      <c r="B7" s="45"/>
      <c r="C7" s="45"/>
      <c r="D7" s="45"/>
      <c r="E7" s="45"/>
      <c r="F7" s="43"/>
      <c r="G7" s="68" t="s">
        <v>90</v>
      </c>
      <c r="H7" s="35">
        <v>3594</v>
      </c>
      <c r="I7" s="19">
        <v>1050</v>
      </c>
      <c r="J7" s="41"/>
      <c r="K7" s="41"/>
    </row>
    <row r="8" spans="1:16" ht="15.5" thickTop="1" thickBot="1">
      <c r="A8" s="45"/>
      <c r="B8" s="45"/>
      <c r="C8" s="45"/>
      <c r="D8" s="45"/>
      <c r="E8" s="45"/>
      <c r="F8" s="43"/>
      <c r="G8" s="68" t="s">
        <v>90</v>
      </c>
      <c r="H8" s="35">
        <v>3485</v>
      </c>
      <c r="I8" s="19">
        <v>1100</v>
      </c>
      <c r="J8" s="41"/>
      <c r="K8" s="41"/>
    </row>
    <row r="9" spans="1:16" ht="15.5" thickTop="1" thickBot="1">
      <c r="A9" s="45"/>
      <c r="B9" s="45"/>
      <c r="C9" s="45"/>
      <c r="D9" s="45"/>
      <c r="E9" s="45"/>
      <c r="F9" s="43"/>
      <c r="G9" s="68" t="s">
        <v>90</v>
      </c>
      <c r="H9" s="35">
        <v>3296</v>
      </c>
      <c r="I9" s="19">
        <v>1150</v>
      </c>
      <c r="J9" s="41"/>
      <c r="K9" s="41"/>
    </row>
    <row r="10" spans="1:16" ht="15.5" thickTop="1" thickBot="1">
      <c r="A10" s="45"/>
      <c r="B10" s="45"/>
      <c r="C10" s="45"/>
      <c r="D10" s="45"/>
      <c r="E10" s="45"/>
      <c r="F10" s="43"/>
      <c r="G10" s="68" t="s">
        <v>90</v>
      </c>
      <c r="H10" s="35">
        <v>3148</v>
      </c>
      <c r="I10" s="19">
        <v>1200</v>
      </c>
      <c r="J10" s="41"/>
      <c r="K10" s="41"/>
    </row>
    <row r="11" spans="1:16" ht="15.5" thickTop="1" thickBot="1">
      <c r="A11" s="45"/>
      <c r="B11" s="45"/>
      <c r="C11" s="45"/>
      <c r="D11" s="45"/>
      <c r="E11" s="45"/>
      <c r="F11" s="43"/>
      <c r="G11" s="68" t="s">
        <v>90</v>
      </c>
      <c r="H11" s="35">
        <v>3386</v>
      </c>
      <c r="I11" s="19">
        <v>1250</v>
      </c>
      <c r="J11" s="41"/>
      <c r="K11" s="41"/>
    </row>
    <row r="12" spans="1:16" ht="15.5" thickTop="1" thickBot="1">
      <c r="A12" s="49"/>
      <c r="B12" s="49"/>
      <c r="C12" s="49"/>
      <c r="D12" s="49"/>
      <c r="E12" s="49"/>
      <c r="F12" s="50"/>
      <c r="G12" s="73" t="s">
        <v>90</v>
      </c>
      <c r="H12" s="39">
        <v>3267</v>
      </c>
      <c r="I12" s="24">
        <v>1300</v>
      </c>
      <c r="J12" s="51"/>
      <c r="K12" s="51"/>
    </row>
    <row r="13" spans="1:16" ht="15.5" thickTop="1" thickBot="1">
      <c r="A13" s="54">
        <v>153817</v>
      </c>
      <c r="B13" s="55">
        <v>2</v>
      </c>
      <c r="C13" s="55">
        <v>10</v>
      </c>
      <c r="D13" s="55" t="s">
        <v>66</v>
      </c>
      <c r="E13" s="55" t="s">
        <v>67</v>
      </c>
      <c r="F13" s="56" t="s">
        <v>68</v>
      </c>
      <c r="G13" s="60" t="s">
        <v>93</v>
      </c>
      <c r="H13" s="47">
        <v>3694</v>
      </c>
      <c r="I13" s="33">
        <v>800</v>
      </c>
      <c r="J13" s="40">
        <f>MEDIAN(H13:H23)</f>
        <v>4399</v>
      </c>
      <c r="K13" s="40">
        <f>AVERAGE(H13:H23)</f>
        <v>4429.727272727273</v>
      </c>
    </row>
    <row r="14" spans="1:16" ht="15" thickBot="1">
      <c r="A14" s="46"/>
      <c r="B14" s="45"/>
      <c r="C14" s="45"/>
      <c r="D14" s="45"/>
      <c r="E14" s="45"/>
      <c r="F14" s="43"/>
      <c r="G14" s="60" t="s">
        <v>93</v>
      </c>
      <c r="H14" s="35">
        <v>3932</v>
      </c>
      <c r="I14" s="19">
        <v>850</v>
      </c>
      <c r="J14" s="41"/>
      <c r="K14" s="41"/>
    </row>
    <row r="15" spans="1:16" ht="15" thickBot="1">
      <c r="A15" s="46"/>
      <c r="B15" s="45"/>
      <c r="C15" s="45"/>
      <c r="D15" s="45"/>
      <c r="E15" s="45"/>
      <c r="F15" s="43"/>
      <c r="G15" s="60" t="s">
        <v>93</v>
      </c>
      <c r="H15" s="35">
        <v>4131</v>
      </c>
      <c r="I15" s="19">
        <v>900</v>
      </c>
      <c r="J15" s="41"/>
      <c r="K15" s="41"/>
    </row>
    <row r="16" spans="1:16" ht="15" thickBot="1">
      <c r="A16" s="46"/>
      <c r="B16" s="45"/>
      <c r="C16" s="45"/>
      <c r="D16" s="45"/>
      <c r="E16" s="45"/>
      <c r="F16" s="43"/>
      <c r="G16" s="60" t="s">
        <v>93</v>
      </c>
      <c r="H16" s="35">
        <v>5144</v>
      </c>
      <c r="I16" s="19">
        <v>950</v>
      </c>
      <c r="J16" s="41"/>
      <c r="K16" s="41"/>
    </row>
    <row r="17" spans="1:13" ht="15" thickBot="1">
      <c r="A17" s="46"/>
      <c r="B17" s="45"/>
      <c r="C17" s="45"/>
      <c r="D17" s="45"/>
      <c r="E17" s="45"/>
      <c r="F17" s="43"/>
      <c r="G17" s="60" t="s">
        <v>93</v>
      </c>
      <c r="H17" s="35">
        <v>5005</v>
      </c>
      <c r="I17" s="19">
        <v>1000</v>
      </c>
      <c r="J17" s="41"/>
      <c r="K17" s="41"/>
    </row>
    <row r="18" spans="1:13" ht="15" thickBot="1">
      <c r="A18" s="46"/>
      <c r="B18" s="45"/>
      <c r="C18" s="45"/>
      <c r="D18" s="45"/>
      <c r="E18" s="45"/>
      <c r="F18" s="43"/>
      <c r="G18" s="60" t="s">
        <v>93</v>
      </c>
      <c r="H18" s="35">
        <v>4836</v>
      </c>
      <c r="I18" s="19">
        <v>1050</v>
      </c>
      <c r="J18" s="41"/>
      <c r="K18" s="41"/>
    </row>
    <row r="19" spans="1:13" ht="15" thickBot="1">
      <c r="A19" s="46"/>
      <c r="B19" s="45"/>
      <c r="C19" s="45"/>
      <c r="D19" s="45"/>
      <c r="E19" s="45"/>
      <c r="F19" s="43"/>
      <c r="G19" s="60" t="s">
        <v>93</v>
      </c>
      <c r="H19" s="35">
        <v>4697</v>
      </c>
      <c r="I19" s="19">
        <v>1100</v>
      </c>
      <c r="J19" s="41"/>
      <c r="K19" s="41"/>
    </row>
    <row r="20" spans="1:13" ht="15" thickBot="1">
      <c r="A20" s="46"/>
      <c r="B20" s="45"/>
      <c r="C20" s="45"/>
      <c r="D20" s="45"/>
      <c r="E20" s="45"/>
      <c r="F20" s="43"/>
      <c r="G20" s="60" t="s">
        <v>93</v>
      </c>
      <c r="H20" s="35">
        <v>4518</v>
      </c>
      <c r="I20" s="19">
        <v>1150</v>
      </c>
      <c r="J20" s="41"/>
      <c r="K20" s="41"/>
    </row>
    <row r="21" spans="1:13" ht="15" thickBot="1">
      <c r="A21" s="46"/>
      <c r="B21" s="45"/>
      <c r="C21" s="45"/>
      <c r="D21" s="45"/>
      <c r="E21" s="45"/>
      <c r="F21" s="43"/>
      <c r="G21" s="60" t="s">
        <v>93</v>
      </c>
      <c r="H21" s="35">
        <v>4399</v>
      </c>
      <c r="I21" s="19">
        <v>1200</v>
      </c>
      <c r="J21" s="41"/>
      <c r="K21" s="41"/>
    </row>
    <row r="22" spans="1:13" ht="15" thickBot="1">
      <c r="A22" s="46"/>
      <c r="B22" s="45"/>
      <c r="C22" s="45"/>
      <c r="D22" s="45"/>
      <c r="E22" s="45"/>
      <c r="F22" s="43"/>
      <c r="G22" s="60" t="s">
        <v>93</v>
      </c>
      <c r="H22" s="35">
        <v>4230</v>
      </c>
      <c r="I22" s="19">
        <v>1250</v>
      </c>
      <c r="J22" s="41"/>
      <c r="K22" s="41"/>
    </row>
    <row r="23" spans="1:13" ht="15" thickBot="1">
      <c r="A23" s="48"/>
      <c r="B23" s="49"/>
      <c r="C23" s="49"/>
      <c r="D23" s="49"/>
      <c r="E23" s="49"/>
      <c r="F23" s="50"/>
      <c r="G23" s="72" t="s">
        <v>93</v>
      </c>
      <c r="H23" s="39">
        <v>4141</v>
      </c>
      <c r="I23" s="24">
        <v>1300</v>
      </c>
      <c r="J23" s="51"/>
      <c r="K23" s="51"/>
      <c r="L23" s="20" t="s">
        <v>92</v>
      </c>
      <c r="M23" s="58">
        <f>MEDIAN(J2:J61)</f>
        <v>3654</v>
      </c>
    </row>
    <row r="24" spans="1:13" ht="15.5" thickTop="1" thickBot="1">
      <c r="A24" s="54">
        <v>248887</v>
      </c>
      <c r="B24" s="55">
        <v>2</v>
      </c>
      <c r="C24" s="55">
        <v>10</v>
      </c>
      <c r="D24" s="55" t="s">
        <v>79</v>
      </c>
      <c r="E24" s="55" t="s">
        <v>67</v>
      </c>
      <c r="F24" s="56" t="s">
        <v>68</v>
      </c>
      <c r="G24" s="60" t="s">
        <v>94</v>
      </c>
      <c r="H24" s="47">
        <v>3287</v>
      </c>
      <c r="I24" s="33">
        <v>800</v>
      </c>
      <c r="J24" s="40">
        <f>MEDIAN(H24:H34)</f>
        <v>3654</v>
      </c>
      <c r="K24" s="40">
        <f>AVERAGE(H24:H34)</f>
        <v>3729.6363636363635</v>
      </c>
    </row>
    <row r="25" spans="1:13" ht="15" thickBot="1">
      <c r="A25" s="46"/>
      <c r="B25" s="45"/>
      <c r="C25" s="45"/>
      <c r="D25" s="45"/>
      <c r="E25" s="45"/>
      <c r="F25" s="43"/>
      <c r="G25" s="60" t="s">
        <v>94</v>
      </c>
      <c r="H25" s="35">
        <v>3505</v>
      </c>
      <c r="I25" s="19">
        <v>850</v>
      </c>
      <c r="J25" s="41"/>
      <c r="K25" s="41"/>
    </row>
    <row r="26" spans="1:13" ht="15" thickBot="1">
      <c r="A26" s="46"/>
      <c r="B26" s="45"/>
      <c r="C26" s="45"/>
      <c r="D26" s="45"/>
      <c r="E26" s="45"/>
      <c r="F26" s="43"/>
      <c r="G26" s="60" t="s">
        <v>94</v>
      </c>
      <c r="H26" s="35">
        <v>3316</v>
      </c>
      <c r="I26" s="19">
        <v>900</v>
      </c>
      <c r="J26" s="41"/>
      <c r="K26" s="41"/>
    </row>
    <row r="27" spans="1:13" ht="15" thickBot="1">
      <c r="A27" s="46"/>
      <c r="B27" s="45"/>
      <c r="C27" s="45"/>
      <c r="D27" s="45"/>
      <c r="E27" s="45"/>
      <c r="F27" s="43"/>
      <c r="G27" s="60" t="s">
        <v>94</v>
      </c>
      <c r="H27" s="35">
        <v>3584</v>
      </c>
      <c r="I27" s="19">
        <v>950</v>
      </c>
      <c r="J27" s="41"/>
      <c r="K27" s="41"/>
    </row>
    <row r="28" spans="1:13" ht="15" thickBot="1">
      <c r="A28" s="46"/>
      <c r="B28" s="45"/>
      <c r="C28" s="45"/>
      <c r="D28" s="45"/>
      <c r="E28" s="45"/>
      <c r="F28" s="43"/>
      <c r="G28" s="60" t="s">
        <v>94</v>
      </c>
      <c r="H28" s="35">
        <v>3435</v>
      </c>
      <c r="I28" s="19">
        <v>1000</v>
      </c>
      <c r="J28" s="41"/>
      <c r="K28" s="41"/>
    </row>
    <row r="29" spans="1:13" ht="15" thickBot="1">
      <c r="A29" s="46"/>
      <c r="B29" s="45"/>
      <c r="C29" s="45"/>
      <c r="D29" s="45"/>
      <c r="E29" s="45"/>
      <c r="F29" s="43"/>
      <c r="G29" s="60" t="s">
        <v>94</v>
      </c>
      <c r="H29" s="35">
        <v>3654</v>
      </c>
      <c r="I29" s="19">
        <v>1050</v>
      </c>
      <c r="J29" s="41"/>
      <c r="K29" s="41"/>
    </row>
    <row r="30" spans="1:13" ht="15" thickBot="1">
      <c r="A30" s="46"/>
      <c r="B30" s="45"/>
      <c r="C30" s="45"/>
      <c r="D30" s="45"/>
      <c r="E30" s="45"/>
      <c r="F30" s="43"/>
      <c r="G30" s="60" t="s">
        <v>94</v>
      </c>
      <c r="H30" s="35">
        <v>3932</v>
      </c>
      <c r="I30" s="19">
        <v>1100</v>
      </c>
      <c r="J30" s="41"/>
      <c r="K30" s="41"/>
    </row>
    <row r="31" spans="1:13" ht="15" thickBot="1">
      <c r="A31" s="46"/>
      <c r="B31" s="45"/>
      <c r="C31" s="45"/>
      <c r="D31" s="45"/>
      <c r="E31" s="45"/>
      <c r="F31" s="43"/>
      <c r="G31" s="60" t="s">
        <v>94</v>
      </c>
      <c r="H31" s="35">
        <v>4180</v>
      </c>
      <c r="I31" s="19">
        <v>1150</v>
      </c>
      <c r="J31" s="41"/>
      <c r="K31" s="41"/>
    </row>
    <row r="32" spans="1:13" ht="15" thickBot="1">
      <c r="A32" s="46"/>
      <c r="B32" s="45"/>
      <c r="C32" s="45"/>
      <c r="D32" s="45"/>
      <c r="E32" s="45"/>
      <c r="F32" s="43"/>
      <c r="G32" s="60" t="s">
        <v>94</v>
      </c>
      <c r="H32" s="35">
        <v>4041</v>
      </c>
      <c r="I32" s="19">
        <v>1200</v>
      </c>
      <c r="J32" s="41"/>
      <c r="K32" s="41"/>
    </row>
    <row r="33" spans="1:13" ht="15" thickBot="1">
      <c r="A33" s="46"/>
      <c r="B33" s="45"/>
      <c r="C33" s="45"/>
      <c r="D33" s="45"/>
      <c r="E33" s="45"/>
      <c r="F33" s="43"/>
      <c r="G33" s="60" t="s">
        <v>94</v>
      </c>
      <c r="H33" s="35">
        <v>3912</v>
      </c>
      <c r="I33" s="19">
        <v>1250</v>
      </c>
      <c r="J33" s="41"/>
      <c r="K33" s="41"/>
    </row>
    <row r="34" spans="1:13" ht="15" thickBot="1">
      <c r="A34" s="48"/>
      <c r="B34" s="49"/>
      <c r="C34" s="49"/>
      <c r="D34" s="49"/>
      <c r="E34" s="49"/>
      <c r="F34" s="50"/>
      <c r="G34" s="72" t="s">
        <v>94</v>
      </c>
      <c r="H34" s="39">
        <v>4180</v>
      </c>
      <c r="I34" s="24">
        <v>1300</v>
      </c>
      <c r="J34" s="51"/>
      <c r="K34" s="51"/>
      <c r="L34" s="22" t="s">
        <v>71</v>
      </c>
      <c r="M34" s="59">
        <f>AVERAGE(H2:H61)</f>
        <v>3827.7090909090907</v>
      </c>
    </row>
    <row r="35" spans="1:13" ht="15.5" thickTop="1" thickBot="1">
      <c r="A35" s="55">
        <v>683377</v>
      </c>
      <c r="B35" s="55">
        <v>2</v>
      </c>
      <c r="C35" s="55">
        <v>10</v>
      </c>
      <c r="D35" s="55" t="s">
        <v>95</v>
      </c>
      <c r="E35" s="55" t="s">
        <v>67</v>
      </c>
      <c r="F35" s="56" t="s">
        <v>68</v>
      </c>
      <c r="G35" s="60" t="s">
        <v>96</v>
      </c>
      <c r="H35" s="47">
        <v>4002</v>
      </c>
      <c r="I35" s="33">
        <v>800</v>
      </c>
      <c r="J35" s="40">
        <f>MEDIAN(H35:H45)</f>
        <v>3853</v>
      </c>
      <c r="K35" s="40">
        <f>AVERAGE(H35:H45)</f>
        <v>3847.181818181818</v>
      </c>
    </row>
    <row r="36" spans="1:13" ht="15" thickBot="1">
      <c r="A36" s="45"/>
      <c r="B36" s="45"/>
      <c r="C36" s="45"/>
      <c r="D36" s="45"/>
      <c r="E36" s="45"/>
      <c r="F36" s="43"/>
      <c r="G36" s="60" t="s">
        <v>96</v>
      </c>
      <c r="H36" s="35">
        <v>3813</v>
      </c>
      <c r="I36" s="19">
        <v>850</v>
      </c>
      <c r="J36" s="41"/>
      <c r="K36" s="41"/>
    </row>
    <row r="37" spans="1:13" ht="15" thickBot="1">
      <c r="A37" s="45"/>
      <c r="B37" s="45"/>
      <c r="C37" s="45"/>
      <c r="D37" s="45"/>
      <c r="E37" s="45"/>
      <c r="F37" s="43"/>
      <c r="G37" s="60" t="s">
        <v>96</v>
      </c>
      <c r="H37" s="35">
        <v>4021</v>
      </c>
      <c r="I37" s="19">
        <v>900</v>
      </c>
      <c r="J37" s="41"/>
      <c r="K37" s="41"/>
    </row>
    <row r="38" spans="1:13" ht="15" thickBot="1">
      <c r="A38" s="45"/>
      <c r="B38" s="45"/>
      <c r="C38" s="45"/>
      <c r="D38" s="45"/>
      <c r="E38" s="45"/>
      <c r="F38" s="43"/>
      <c r="G38" s="60" t="s">
        <v>96</v>
      </c>
      <c r="H38" s="35">
        <v>3902</v>
      </c>
      <c r="I38" s="19">
        <v>950</v>
      </c>
      <c r="J38" s="41"/>
      <c r="K38" s="41"/>
    </row>
    <row r="39" spans="1:13" ht="15" thickBot="1">
      <c r="A39" s="45"/>
      <c r="B39" s="45"/>
      <c r="C39" s="45"/>
      <c r="D39" s="45"/>
      <c r="E39" s="45"/>
      <c r="F39" s="43"/>
      <c r="G39" s="60" t="s">
        <v>96</v>
      </c>
      <c r="H39" s="35">
        <v>3743</v>
      </c>
      <c r="I39" s="19">
        <v>1000</v>
      </c>
      <c r="J39" s="41"/>
      <c r="K39" s="41"/>
    </row>
    <row r="40" spans="1:13" ht="15" thickBot="1">
      <c r="A40" s="45"/>
      <c r="B40" s="45"/>
      <c r="C40" s="45"/>
      <c r="D40" s="45"/>
      <c r="E40" s="45"/>
      <c r="F40" s="43"/>
      <c r="G40" s="60" t="s">
        <v>96</v>
      </c>
      <c r="H40" s="35">
        <v>3654</v>
      </c>
      <c r="I40" s="19">
        <v>1050</v>
      </c>
      <c r="J40" s="41"/>
      <c r="K40" s="41"/>
    </row>
    <row r="41" spans="1:13" ht="15" thickBot="1">
      <c r="A41" s="45"/>
      <c r="B41" s="45"/>
      <c r="C41" s="45"/>
      <c r="D41" s="45"/>
      <c r="E41" s="45"/>
      <c r="F41" s="43"/>
      <c r="G41" s="60" t="s">
        <v>96</v>
      </c>
      <c r="H41" s="35">
        <v>3902</v>
      </c>
      <c r="I41" s="19">
        <v>1100</v>
      </c>
      <c r="J41" s="41"/>
      <c r="K41" s="41"/>
    </row>
    <row r="42" spans="1:13" ht="15" thickBot="1">
      <c r="A42" s="45"/>
      <c r="B42" s="45"/>
      <c r="C42" s="45"/>
      <c r="D42" s="45"/>
      <c r="E42" s="45"/>
      <c r="F42" s="43"/>
      <c r="G42" s="60" t="s">
        <v>96</v>
      </c>
      <c r="H42" s="35">
        <v>3723</v>
      </c>
      <c r="I42" s="19">
        <v>1150</v>
      </c>
      <c r="J42" s="41"/>
      <c r="K42" s="41"/>
    </row>
    <row r="43" spans="1:13" ht="15" thickBot="1">
      <c r="A43" s="45"/>
      <c r="B43" s="45"/>
      <c r="C43" s="45"/>
      <c r="D43" s="45"/>
      <c r="E43" s="45"/>
      <c r="F43" s="43"/>
      <c r="G43" s="60" t="s">
        <v>96</v>
      </c>
      <c r="H43" s="35">
        <v>3992</v>
      </c>
      <c r="I43" s="19">
        <v>1200</v>
      </c>
      <c r="J43" s="41"/>
      <c r="K43" s="41"/>
    </row>
    <row r="44" spans="1:13" ht="15" thickBot="1">
      <c r="A44" s="45"/>
      <c r="B44" s="45"/>
      <c r="C44" s="45"/>
      <c r="D44" s="45"/>
      <c r="E44" s="45"/>
      <c r="F44" s="43"/>
      <c r="G44" s="60" t="s">
        <v>96</v>
      </c>
      <c r="H44" s="35">
        <v>3853</v>
      </c>
      <c r="I44" s="19">
        <v>1250</v>
      </c>
      <c r="J44" s="41"/>
      <c r="K44" s="41"/>
    </row>
    <row r="45" spans="1:13" ht="15" thickBot="1">
      <c r="A45" s="49"/>
      <c r="B45" s="49"/>
      <c r="C45" s="49"/>
      <c r="D45" s="49"/>
      <c r="E45" s="49"/>
      <c r="F45" s="50"/>
      <c r="G45" s="72" t="s">
        <v>96</v>
      </c>
      <c r="H45" s="39">
        <v>3714</v>
      </c>
      <c r="I45" s="24">
        <v>1300</v>
      </c>
      <c r="J45" s="51"/>
      <c r="K45" s="51"/>
    </row>
    <row r="46" spans="1:13" ht="15.5" thickTop="1" thickBot="1">
      <c r="A46" s="55">
        <v>877411</v>
      </c>
      <c r="B46" s="55">
        <v>2</v>
      </c>
      <c r="C46" s="55">
        <v>10</v>
      </c>
      <c r="D46" s="55" t="s">
        <v>97</v>
      </c>
      <c r="E46" s="55" t="s">
        <v>67</v>
      </c>
      <c r="F46" s="56" t="s">
        <v>68</v>
      </c>
      <c r="G46" s="60" t="s">
        <v>98</v>
      </c>
      <c r="H46" s="47">
        <v>3674</v>
      </c>
      <c r="I46" s="33">
        <v>800</v>
      </c>
      <c r="J46" s="40">
        <f>MEDIAN(H46:H56)</f>
        <v>3565</v>
      </c>
      <c r="K46" s="40">
        <f>AVERAGE(H46:H56)</f>
        <v>3591.818181818182</v>
      </c>
    </row>
    <row r="47" spans="1:13" ht="15" thickBot="1">
      <c r="A47" s="45"/>
      <c r="B47" s="45"/>
      <c r="C47" s="45"/>
      <c r="D47" s="45"/>
      <c r="E47" s="45"/>
      <c r="F47" s="43"/>
      <c r="G47" s="60" t="s">
        <v>98</v>
      </c>
      <c r="H47" s="35">
        <v>3863</v>
      </c>
      <c r="I47" s="19">
        <v>850</v>
      </c>
      <c r="J47" s="41"/>
      <c r="K47" s="41"/>
    </row>
    <row r="48" spans="1:13" ht="15" thickBot="1">
      <c r="A48" s="45"/>
      <c r="B48" s="45"/>
      <c r="C48" s="45"/>
      <c r="D48" s="45"/>
      <c r="E48" s="45"/>
      <c r="F48" s="43"/>
      <c r="G48" s="60" t="s">
        <v>98</v>
      </c>
      <c r="H48" s="35">
        <v>3723</v>
      </c>
      <c r="I48" s="19">
        <v>900</v>
      </c>
      <c r="J48" s="41"/>
      <c r="K48" s="41"/>
    </row>
    <row r="49" spans="1:11" ht="15" thickBot="1">
      <c r="A49" s="45"/>
      <c r="B49" s="45"/>
      <c r="C49" s="45"/>
      <c r="D49" s="45"/>
      <c r="E49" s="45"/>
      <c r="F49" s="43"/>
      <c r="G49" s="60" t="s">
        <v>98</v>
      </c>
      <c r="H49" s="35">
        <v>3525</v>
      </c>
      <c r="I49" s="19">
        <v>950</v>
      </c>
      <c r="J49" s="41"/>
      <c r="K49" s="41"/>
    </row>
    <row r="50" spans="1:11" ht="15" thickBot="1">
      <c r="A50" s="45"/>
      <c r="B50" s="45"/>
      <c r="C50" s="45"/>
      <c r="D50" s="45"/>
      <c r="E50" s="45"/>
      <c r="F50" s="43"/>
      <c r="G50" s="60" t="s">
        <v>98</v>
      </c>
      <c r="H50" s="35">
        <v>3376</v>
      </c>
      <c r="I50" s="19">
        <v>1000</v>
      </c>
      <c r="J50" s="41"/>
      <c r="K50" s="41"/>
    </row>
    <row r="51" spans="1:11" ht="15" thickBot="1">
      <c r="A51" s="45"/>
      <c r="B51" s="45"/>
      <c r="C51" s="45"/>
      <c r="D51" s="45"/>
      <c r="E51" s="45"/>
      <c r="F51" s="43"/>
      <c r="G51" s="60" t="s">
        <v>98</v>
      </c>
      <c r="H51" s="35">
        <v>3565</v>
      </c>
      <c r="I51" s="19">
        <v>1050</v>
      </c>
      <c r="J51" s="41"/>
      <c r="K51" s="41"/>
    </row>
    <row r="52" spans="1:11" ht="15" thickBot="1">
      <c r="A52" s="45"/>
      <c r="B52" s="45"/>
      <c r="C52" s="45"/>
      <c r="D52" s="45"/>
      <c r="E52" s="45"/>
      <c r="F52" s="43"/>
      <c r="G52" s="60" t="s">
        <v>98</v>
      </c>
      <c r="H52" s="35">
        <v>3843</v>
      </c>
      <c r="I52" s="19">
        <v>1100</v>
      </c>
      <c r="J52" s="41"/>
      <c r="K52" s="41"/>
    </row>
    <row r="53" spans="1:11" ht="15" thickBot="1">
      <c r="A53" s="45"/>
      <c r="B53" s="45"/>
      <c r="C53" s="45"/>
      <c r="D53" s="45"/>
      <c r="E53" s="45"/>
      <c r="F53" s="43"/>
      <c r="G53" s="60" t="s">
        <v>98</v>
      </c>
      <c r="H53" s="35">
        <v>3723</v>
      </c>
      <c r="I53" s="19">
        <v>1150</v>
      </c>
      <c r="J53" s="41"/>
      <c r="K53" s="41"/>
    </row>
    <row r="54" spans="1:11" ht="15" thickBot="1">
      <c r="A54" s="45"/>
      <c r="B54" s="45"/>
      <c r="C54" s="45"/>
      <c r="D54" s="45"/>
      <c r="E54" s="45"/>
      <c r="F54" s="43"/>
      <c r="G54" s="60" t="s">
        <v>98</v>
      </c>
      <c r="H54" s="35">
        <v>3555</v>
      </c>
      <c r="I54" s="19">
        <v>1200</v>
      </c>
      <c r="J54" s="41"/>
      <c r="K54" s="41"/>
    </row>
    <row r="55" spans="1:11" ht="15" thickBot="1">
      <c r="A55" s="45"/>
      <c r="B55" s="45"/>
      <c r="C55" s="45"/>
      <c r="D55" s="45"/>
      <c r="E55" s="45"/>
      <c r="F55" s="43"/>
      <c r="G55" s="60" t="s">
        <v>98</v>
      </c>
      <c r="H55" s="35">
        <v>3426</v>
      </c>
      <c r="I55" s="19">
        <v>1250</v>
      </c>
      <c r="J55" s="41"/>
      <c r="K55" s="41"/>
    </row>
    <row r="56" spans="1:11" ht="15" thickBot="1">
      <c r="A56" s="49"/>
      <c r="B56" s="49"/>
      <c r="C56" s="49"/>
      <c r="D56" s="49"/>
      <c r="E56" s="49"/>
      <c r="F56" s="50"/>
      <c r="G56" s="72" t="s">
        <v>98</v>
      </c>
      <c r="H56" s="39">
        <v>3237</v>
      </c>
      <c r="I56" s="24">
        <v>1300</v>
      </c>
      <c r="J56" s="51"/>
      <c r="K56" s="51"/>
    </row>
    <row r="57" spans="1:11" ht="15.5" thickTop="1" thickBot="1">
      <c r="A57" s="33">
        <v>320143</v>
      </c>
      <c r="B57" s="19">
        <v>2</v>
      </c>
      <c r="C57" s="19">
        <v>10</v>
      </c>
      <c r="D57" s="19" t="s">
        <v>79</v>
      </c>
      <c r="E57" s="19" t="s">
        <v>78</v>
      </c>
      <c r="F57" s="16" t="s">
        <v>77</v>
      </c>
      <c r="G57" s="33" t="s">
        <v>75</v>
      </c>
      <c r="H57" s="47"/>
      <c r="I57" s="33"/>
      <c r="J57" s="35"/>
      <c r="K57" s="18"/>
    </row>
    <row r="58" spans="1:11" ht="15.5" thickTop="1" thickBot="1">
      <c r="A58" s="19">
        <v>403219</v>
      </c>
      <c r="B58" s="19">
        <v>2</v>
      </c>
      <c r="C58" s="19">
        <v>10</v>
      </c>
      <c r="D58" s="19" t="s">
        <v>79</v>
      </c>
      <c r="E58" s="19" t="s">
        <v>78</v>
      </c>
      <c r="F58" s="16" t="s">
        <v>77</v>
      </c>
      <c r="G58" s="19" t="s">
        <v>76</v>
      </c>
      <c r="H58" s="35"/>
      <c r="I58" s="19"/>
      <c r="J58" s="35"/>
      <c r="K58" s="18"/>
    </row>
    <row r="59" spans="1:11" ht="15.5" thickTop="1" thickBot="1">
      <c r="A59" s="19">
        <v>530797</v>
      </c>
      <c r="B59" s="19">
        <v>2</v>
      </c>
      <c r="C59" s="19">
        <v>10</v>
      </c>
      <c r="D59" s="19" t="s">
        <v>79</v>
      </c>
      <c r="E59" s="19" t="s">
        <v>78</v>
      </c>
      <c r="F59" s="16" t="s">
        <v>77</v>
      </c>
      <c r="G59" s="19" t="s">
        <v>80</v>
      </c>
      <c r="H59" s="35"/>
      <c r="I59" s="19"/>
      <c r="J59" s="35"/>
      <c r="K59" s="18"/>
    </row>
    <row r="60" spans="1:11" ht="15.5" thickTop="1" thickBot="1">
      <c r="A60" s="29">
        <v>797399</v>
      </c>
      <c r="B60" s="19">
        <v>2</v>
      </c>
      <c r="C60" s="19">
        <v>10</v>
      </c>
      <c r="D60" s="19" t="s">
        <v>66</v>
      </c>
      <c r="E60" s="19" t="s">
        <v>67</v>
      </c>
      <c r="F60" s="16" t="s">
        <v>77</v>
      </c>
      <c r="G60" s="19" t="s">
        <v>82</v>
      </c>
      <c r="H60" s="35"/>
      <c r="I60" s="19"/>
      <c r="J60" s="36"/>
      <c r="K60" s="18"/>
    </row>
    <row r="61" spans="1:11" ht="15.5" thickTop="1" thickBot="1">
      <c r="A61" s="31">
        <v>979873</v>
      </c>
      <c r="B61" s="24">
        <v>2</v>
      </c>
      <c r="C61" s="24">
        <v>10</v>
      </c>
      <c r="D61" s="24" t="s">
        <v>79</v>
      </c>
      <c r="E61" s="24" t="s">
        <v>78</v>
      </c>
      <c r="F61" s="32" t="s">
        <v>77</v>
      </c>
      <c r="G61" s="24" t="s">
        <v>84</v>
      </c>
      <c r="H61" s="35"/>
      <c r="I61" s="19"/>
      <c r="J61" s="37"/>
      <c r="K61" s="26">
        <f>AVERAGE(H2:H61)</f>
        <v>3827.7090909090907</v>
      </c>
    </row>
    <row r="65" spans="1:10">
      <c r="A65" s="65" t="s">
        <v>101</v>
      </c>
      <c r="B65" s="65" t="s">
        <v>102</v>
      </c>
      <c r="H65"/>
      <c r="J65"/>
    </row>
    <row r="66" spans="1:10">
      <c r="A66" s="65" t="s">
        <v>99</v>
      </c>
      <c r="B66" t="s">
        <v>90</v>
      </c>
      <c r="C66" t="s">
        <v>93</v>
      </c>
      <c r="D66" t="s">
        <v>94</v>
      </c>
      <c r="E66" t="s">
        <v>96</v>
      </c>
      <c r="F66" t="s">
        <v>98</v>
      </c>
      <c r="G66" t="s">
        <v>100</v>
      </c>
      <c r="H66"/>
      <c r="J66"/>
    </row>
    <row r="67" spans="1:10">
      <c r="A67" s="66">
        <v>800</v>
      </c>
      <c r="B67" s="38">
        <v>3634</v>
      </c>
      <c r="C67" s="38">
        <v>3694</v>
      </c>
      <c r="D67" s="38">
        <v>3287</v>
      </c>
      <c r="E67" s="38">
        <v>4002</v>
      </c>
      <c r="F67" s="38">
        <v>3674</v>
      </c>
      <c r="G67" s="38">
        <v>3658.2</v>
      </c>
      <c r="H67"/>
      <c r="J67"/>
    </row>
    <row r="68" spans="1:10">
      <c r="A68" s="66">
        <v>850</v>
      </c>
      <c r="B68" s="38">
        <v>3843</v>
      </c>
      <c r="C68" s="38">
        <v>3932</v>
      </c>
      <c r="D68" s="38">
        <v>3505</v>
      </c>
      <c r="E68" s="38">
        <v>3813</v>
      </c>
      <c r="F68" s="38">
        <v>3863</v>
      </c>
      <c r="G68" s="38">
        <v>3791.2</v>
      </c>
      <c r="H68"/>
      <c r="J68"/>
    </row>
    <row r="69" spans="1:10">
      <c r="A69" s="66">
        <v>900</v>
      </c>
      <c r="B69" s="38">
        <v>3654</v>
      </c>
      <c r="C69" s="38">
        <v>4131</v>
      </c>
      <c r="D69" s="38">
        <v>3316</v>
      </c>
      <c r="E69" s="38">
        <v>4021</v>
      </c>
      <c r="F69" s="38">
        <v>3723</v>
      </c>
      <c r="G69" s="38">
        <v>3769</v>
      </c>
      <c r="H69"/>
      <c r="J69"/>
    </row>
    <row r="70" spans="1:10">
      <c r="A70" s="66">
        <v>950</v>
      </c>
      <c r="B70" s="38">
        <v>3912</v>
      </c>
      <c r="C70" s="38">
        <v>5144</v>
      </c>
      <c r="D70" s="38">
        <v>3584</v>
      </c>
      <c r="E70" s="38">
        <v>3902</v>
      </c>
      <c r="F70" s="38">
        <v>3525</v>
      </c>
      <c r="G70" s="38">
        <v>4013.4</v>
      </c>
      <c r="H70"/>
      <c r="J70"/>
    </row>
    <row r="71" spans="1:10">
      <c r="A71" s="66">
        <v>1000</v>
      </c>
      <c r="B71" s="38">
        <v>3723</v>
      </c>
      <c r="C71" s="38">
        <v>5005</v>
      </c>
      <c r="D71" s="38">
        <v>3435</v>
      </c>
      <c r="E71" s="38">
        <v>3743</v>
      </c>
      <c r="F71" s="38">
        <v>3376</v>
      </c>
      <c r="G71" s="38">
        <v>3856.4</v>
      </c>
      <c r="H71"/>
      <c r="J71"/>
    </row>
    <row r="72" spans="1:10">
      <c r="A72" s="66">
        <v>1050</v>
      </c>
      <c r="B72" s="38">
        <v>3594</v>
      </c>
      <c r="C72" s="38">
        <v>4836</v>
      </c>
      <c r="D72" s="38">
        <v>3654</v>
      </c>
      <c r="E72" s="38">
        <v>3654</v>
      </c>
      <c r="F72" s="38">
        <v>3565</v>
      </c>
      <c r="G72" s="38">
        <v>3860.6</v>
      </c>
      <c r="H72"/>
      <c r="J72"/>
    </row>
    <row r="73" spans="1:10">
      <c r="A73" s="66">
        <v>1100</v>
      </c>
      <c r="B73" s="38">
        <v>3485</v>
      </c>
      <c r="C73" s="38">
        <v>4697</v>
      </c>
      <c r="D73" s="38">
        <v>3932</v>
      </c>
      <c r="E73" s="38">
        <v>3902</v>
      </c>
      <c r="F73" s="38">
        <v>3843</v>
      </c>
      <c r="G73" s="38">
        <v>3971.8</v>
      </c>
    </row>
    <row r="74" spans="1:10">
      <c r="A74" s="66">
        <v>1150</v>
      </c>
      <c r="B74" s="38">
        <v>3296</v>
      </c>
      <c r="C74" s="38">
        <v>4518</v>
      </c>
      <c r="D74" s="38">
        <v>4180</v>
      </c>
      <c r="E74" s="38">
        <v>3723</v>
      </c>
      <c r="F74" s="38">
        <v>3723</v>
      </c>
      <c r="G74" s="38">
        <v>3888</v>
      </c>
    </row>
    <row r="75" spans="1:10">
      <c r="A75" s="66">
        <v>1200</v>
      </c>
      <c r="B75" s="38">
        <v>3148</v>
      </c>
      <c r="C75" s="38">
        <v>4399</v>
      </c>
      <c r="D75" s="38">
        <v>4041</v>
      </c>
      <c r="E75" s="38">
        <v>3992</v>
      </c>
      <c r="F75" s="38">
        <v>3555</v>
      </c>
      <c r="G75" s="38">
        <v>3827</v>
      </c>
    </row>
    <row r="76" spans="1:10">
      <c r="A76" s="66">
        <v>1250</v>
      </c>
      <c r="B76" s="38">
        <v>3386</v>
      </c>
      <c r="C76" s="38">
        <v>4230</v>
      </c>
      <c r="D76" s="38">
        <v>3912</v>
      </c>
      <c r="E76" s="38">
        <v>3853</v>
      </c>
      <c r="F76" s="38">
        <v>3426</v>
      </c>
      <c r="G76" s="38">
        <v>3761.4</v>
      </c>
    </row>
    <row r="77" spans="1:10">
      <c r="A77" s="66">
        <v>1300</v>
      </c>
      <c r="B77" s="38">
        <v>3267</v>
      </c>
      <c r="C77" s="38">
        <v>4141</v>
      </c>
      <c r="D77" s="38">
        <v>4180</v>
      </c>
      <c r="E77" s="38">
        <v>3714</v>
      </c>
      <c r="F77" s="38">
        <v>3237</v>
      </c>
      <c r="G77" s="38">
        <v>3707.8</v>
      </c>
    </row>
    <row r="78" spans="1:10">
      <c r="A78" s="66" t="s">
        <v>100</v>
      </c>
      <c r="B78" s="38">
        <v>3540.181818181818</v>
      </c>
      <c r="C78" s="38">
        <v>4429.727272727273</v>
      </c>
      <c r="D78" s="38">
        <v>3729.6363636363635</v>
      </c>
      <c r="E78" s="38">
        <v>3847.181818181818</v>
      </c>
      <c r="F78" s="38">
        <v>3591.818181818182</v>
      </c>
      <c r="G78" s="38">
        <v>3827.7090909090907</v>
      </c>
    </row>
  </sheetData>
  <mergeCells count="40">
    <mergeCell ref="A46:A56"/>
    <mergeCell ref="J46:J56"/>
    <mergeCell ref="K46:K56"/>
    <mergeCell ref="B35:B45"/>
    <mergeCell ref="A35:A45"/>
    <mergeCell ref="J35:J45"/>
    <mergeCell ref="K35:K45"/>
    <mergeCell ref="F46:F56"/>
    <mergeCell ref="E46:E56"/>
    <mergeCell ref="D46:D56"/>
    <mergeCell ref="C46:C56"/>
    <mergeCell ref="B46:B56"/>
    <mergeCell ref="F35:F45"/>
    <mergeCell ref="E35:E45"/>
    <mergeCell ref="D35:D45"/>
    <mergeCell ref="C35:C45"/>
    <mergeCell ref="C24:C34"/>
    <mergeCell ref="B24:B34"/>
    <mergeCell ref="A24:A34"/>
    <mergeCell ref="J24:J34"/>
    <mergeCell ref="K24:K34"/>
    <mergeCell ref="F24:F34"/>
    <mergeCell ref="E24:E34"/>
    <mergeCell ref="D24:D34"/>
    <mergeCell ref="D13:D23"/>
    <mergeCell ref="E13:E23"/>
    <mergeCell ref="F13:F23"/>
    <mergeCell ref="J13:J23"/>
    <mergeCell ref="K13:K23"/>
    <mergeCell ref="C2:C12"/>
    <mergeCell ref="B2:B12"/>
    <mergeCell ref="A2:A12"/>
    <mergeCell ref="A13:A23"/>
    <mergeCell ref="B13:B23"/>
    <mergeCell ref="C13:C23"/>
    <mergeCell ref="J2:J12"/>
    <mergeCell ref="K2:K12"/>
    <mergeCell ref="F2:F12"/>
    <mergeCell ref="E2:E12"/>
    <mergeCell ref="D2:D12"/>
  </mergeCells>
  <phoneticPr fontId="10" type="noConversion"/>
  <conditionalFormatting sqref="F2:G2 F13:G13 F24:G24 F57:G61 F35:G35 F46:G46 G3:G12 G25:G34">
    <cfRule type="cellIs" dxfId="17" priority="10" operator="equal">
      <formula>"Terminado"</formula>
    </cfRule>
    <cfRule type="cellIs" dxfId="16" priority="11" operator="equal">
      <formula>"En Proceso"</formula>
    </cfRule>
    <cfRule type="cellIs" dxfId="15" priority="12" operator="equal">
      <formula>"Sin Iniciar"</formula>
    </cfRule>
  </conditionalFormatting>
  <conditionalFormatting sqref="G14:G23">
    <cfRule type="cellIs" dxfId="14" priority="7" operator="equal">
      <formula>"Terminado"</formula>
    </cfRule>
    <cfRule type="cellIs" dxfId="13" priority="8" operator="equal">
      <formula>"En Proceso"</formula>
    </cfRule>
    <cfRule type="cellIs" dxfId="12" priority="9" operator="equal">
      <formula>"Sin Iniciar"</formula>
    </cfRule>
  </conditionalFormatting>
  <conditionalFormatting sqref="G36:G45">
    <cfRule type="cellIs" dxfId="11" priority="4" operator="equal">
      <formula>"Terminado"</formula>
    </cfRule>
    <cfRule type="cellIs" dxfId="10" priority="5" operator="equal">
      <formula>"En Proceso"</formula>
    </cfRule>
    <cfRule type="cellIs" dxfId="9" priority="6" operator="equal">
      <formula>"Sin Iniciar"</formula>
    </cfRule>
  </conditionalFormatting>
  <conditionalFormatting sqref="G47:G56">
    <cfRule type="cellIs" dxfId="8" priority="1" operator="equal">
      <formula>"Terminado"</formula>
    </cfRule>
    <cfRule type="cellIs" dxfId="7" priority="2" operator="equal">
      <formula>"En Proceso"</formula>
    </cfRule>
    <cfRule type="cellIs" dxfId="6" priority="3" operator="equal">
      <formula>"Sin Iniciar"</formula>
    </cfRule>
  </conditionalFormatting>
  <dataValidations count="2">
    <dataValidation type="list" showInputMessage="1" showErrorMessage="1" sqref="F2:G2 G2:G12" xr:uid="{B132F2CE-26B2-48CE-9C7D-344F2159A327}">
      <formula1>INDIRECT("Tabla3[Status]")</formula1>
    </dataValidation>
    <dataValidation type="list" showInputMessage="1" showErrorMessage="1" sqref="F46:G46 F57:G61 F35:G35 F24:G24 F13:G13 G14:G23 G25:G34 G36:G45 G47:G56" xr:uid="{68BB34A4-A9C6-4B04-B38A-940DAF3BFD7C}">
      <formula1>$P$2:$P$4</formula1>
    </dataValidation>
  </dataValidations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28280-014D-4758-9930-652076AF500A}">
  <dimension ref="A1:S236"/>
  <sheetViews>
    <sheetView topLeftCell="B121" workbookViewId="0">
      <selection activeCell="M98" sqref="M98"/>
    </sheetView>
  </sheetViews>
  <sheetFormatPr baseColWidth="10" defaultRowHeight="14.5"/>
  <cols>
    <col min="1" max="1" width="20.453125" style="27" bestFit="1" customWidth="1"/>
    <col min="2" max="2" width="21.90625" bestFit="1" customWidth="1"/>
    <col min="3" max="10" width="11.81640625" bestFit="1" customWidth="1"/>
    <col min="11" max="11" width="8.453125" bestFit="1" customWidth="1"/>
    <col min="12" max="13" width="12" bestFit="1" customWidth="1"/>
  </cols>
  <sheetData>
    <row r="1" spans="1:19" ht="15" thickBot="1">
      <c r="A1" s="9" t="s">
        <v>58</v>
      </c>
      <c r="B1" s="8" t="s">
        <v>55</v>
      </c>
      <c r="C1" s="9" t="s">
        <v>56</v>
      </c>
      <c r="D1" s="9" t="s">
        <v>57</v>
      </c>
      <c r="E1" s="10" t="s">
        <v>104</v>
      </c>
      <c r="F1" s="10" t="s">
        <v>60</v>
      </c>
      <c r="G1" s="10" t="s">
        <v>61</v>
      </c>
      <c r="H1" s="11" t="s">
        <v>62</v>
      </c>
      <c r="I1" s="13" t="s">
        <v>63</v>
      </c>
      <c r="J1" s="14" t="s">
        <v>64</v>
      </c>
      <c r="K1" s="8" t="s">
        <v>65</v>
      </c>
      <c r="S1" s="12" t="s">
        <v>61</v>
      </c>
    </row>
    <row r="2" spans="1:19" ht="15.5" thickTop="1" thickBot="1">
      <c r="A2" s="19" t="s">
        <v>72</v>
      </c>
      <c r="B2">
        <v>101581</v>
      </c>
      <c r="C2" s="19">
        <v>6</v>
      </c>
      <c r="D2" s="19">
        <v>60</v>
      </c>
      <c r="E2" s="15" t="s">
        <v>66</v>
      </c>
      <c r="F2" s="15" t="s">
        <v>103</v>
      </c>
      <c r="G2" s="16" t="s">
        <v>68</v>
      </c>
      <c r="H2" s="70">
        <v>3575</v>
      </c>
      <c r="I2" s="33">
        <v>800</v>
      </c>
      <c r="J2" s="17"/>
      <c r="K2" s="18"/>
      <c r="S2" s="1" t="s">
        <v>77</v>
      </c>
    </row>
    <row r="3" spans="1:19" ht="15.5" thickTop="1" thickBot="1">
      <c r="A3" s="19" t="s">
        <v>72</v>
      </c>
      <c r="B3">
        <v>101581</v>
      </c>
      <c r="C3" s="19">
        <v>6</v>
      </c>
      <c r="D3" s="19">
        <v>60</v>
      </c>
      <c r="E3" s="15" t="s">
        <v>66</v>
      </c>
      <c r="F3" s="15" t="s">
        <v>103</v>
      </c>
      <c r="G3" s="16" t="s">
        <v>68</v>
      </c>
      <c r="H3" s="74">
        <v>3406</v>
      </c>
      <c r="I3" s="19">
        <v>850</v>
      </c>
      <c r="J3" s="17"/>
      <c r="K3" s="18"/>
      <c r="S3" s="53" t="s">
        <v>69</v>
      </c>
    </row>
    <row r="4" spans="1:19" ht="15.5" thickTop="1" thickBot="1">
      <c r="A4" s="19" t="s">
        <v>72</v>
      </c>
      <c r="B4">
        <v>101581</v>
      </c>
      <c r="C4" s="19">
        <v>6</v>
      </c>
      <c r="D4" s="19">
        <v>60</v>
      </c>
      <c r="E4" s="15" t="s">
        <v>66</v>
      </c>
      <c r="F4" s="15" t="s">
        <v>103</v>
      </c>
      <c r="G4" s="16" t="s">
        <v>68</v>
      </c>
      <c r="H4" s="74">
        <v>4061</v>
      </c>
      <c r="I4" s="19">
        <v>900</v>
      </c>
      <c r="J4" s="17"/>
      <c r="K4" s="18"/>
      <c r="S4" s="63" t="s">
        <v>68</v>
      </c>
    </row>
    <row r="5" spans="1:19" ht="15.5" thickTop="1" thickBot="1">
      <c r="A5" s="19" t="s">
        <v>72</v>
      </c>
      <c r="B5">
        <v>101581</v>
      </c>
      <c r="C5" s="19">
        <v>6</v>
      </c>
      <c r="D5" s="19">
        <v>60</v>
      </c>
      <c r="E5" s="15" t="s">
        <v>66</v>
      </c>
      <c r="F5" s="15" t="s">
        <v>103</v>
      </c>
      <c r="G5" s="16" t="s">
        <v>68</v>
      </c>
      <c r="H5" s="74">
        <v>3942</v>
      </c>
      <c r="I5" s="19">
        <v>950</v>
      </c>
      <c r="J5" s="17"/>
      <c r="K5" s="18"/>
    </row>
    <row r="6" spans="1:19" ht="15.5" thickTop="1" thickBot="1">
      <c r="A6" s="19" t="s">
        <v>72</v>
      </c>
      <c r="B6">
        <v>101581</v>
      </c>
      <c r="C6" s="19">
        <v>6</v>
      </c>
      <c r="D6" s="19">
        <v>60</v>
      </c>
      <c r="E6" s="15" t="s">
        <v>66</v>
      </c>
      <c r="F6" s="15" t="s">
        <v>103</v>
      </c>
      <c r="G6" s="16" t="s">
        <v>68</v>
      </c>
      <c r="H6" s="74">
        <v>3882</v>
      </c>
      <c r="I6" s="19">
        <v>1000</v>
      </c>
      <c r="J6" s="17"/>
      <c r="K6" s="18"/>
    </row>
    <row r="7" spans="1:19" ht="15.5" thickTop="1" thickBot="1">
      <c r="A7" s="19" t="s">
        <v>72</v>
      </c>
      <c r="B7">
        <v>101581</v>
      </c>
      <c r="C7" s="19">
        <v>6</v>
      </c>
      <c r="D7" s="19">
        <v>60</v>
      </c>
      <c r="E7" s="15" t="s">
        <v>66</v>
      </c>
      <c r="F7" s="15" t="s">
        <v>103</v>
      </c>
      <c r="G7" s="16" t="s">
        <v>68</v>
      </c>
      <c r="H7" s="74">
        <v>3753</v>
      </c>
      <c r="I7" s="19">
        <v>1050</v>
      </c>
      <c r="J7" s="17"/>
      <c r="K7" s="18"/>
    </row>
    <row r="8" spans="1:19" ht="15.5" thickTop="1" thickBot="1">
      <c r="A8" s="19" t="s">
        <v>72</v>
      </c>
      <c r="B8">
        <v>101581</v>
      </c>
      <c r="C8" s="19">
        <v>6</v>
      </c>
      <c r="D8" s="19">
        <v>60</v>
      </c>
      <c r="E8" s="15" t="s">
        <v>66</v>
      </c>
      <c r="F8" s="15" t="s">
        <v>103</v>
      </c>
      <c r="G8" s="16" t="s">
        <v>68</v>
      </c>
      <c r="H8" s="74">
        <v>3584</v>
      </c>
      <c r="I8" s="19">
        <v>1100</v>
      </c>
      <c r="J8" s="17"/>
      <c r="K8" s="18"/>
    </row>
    <row r="9" spans="1:19" ht="15.5" thickTop="1" thickBot="1">
      <c r="A9" s="19" t="s">
        <v>72</v>
      </c>
      <c r="B9">
        <v>101581</v>
      </c>
      <c r="C9" s="19">
        <v>6</v>
      </c>
      <c r="D9" s="19">
        <v>60</v>
      </c>
      <c r="E9" s="15" t="s">
        <v>66</v>
      </c>
      <c r="F9" s="15" t="s">
        <v>103</v>
      </c>
      <c r="G9" s="16" t="s">
        <v>68</v>
      </c>
      <c r="H9" s="74">
        <v>3435</v>
      </c>
      <c r="I9" s="19">
        <v>1150</v>
      </c>
      <c r="J9" s="17"/>
      <c r="K9" s="18"/>
      <c r="L9" s="20" t="s">
        <v>70</v>
      </c>
      <c r="M9" s="21">
        <f>SUM(J2:J100)</f>
        <v>0.93283564814814812</v>
      </c>
      <c r="N9" s="75" t="s">
        <v>91</v>
      </c>
    </row>
    <row r="10" spans="1:19" ht="15.5" thickTop="1" thickBot="1">
      <c r="A10" s="19" t="s">
        <v>72</v>
      </c>
      <c r="B10">
        <v>101581</v>
      </c>
      <c r="C10" s="19">
        <v>6</v>
      </c>
      <c r="D10" s="19">
        <v>60</v>
      </c>
      <c r="E10" s="15" t="s">
        <v>66</v>
      </c>
      <c r="F10" s="15" t="s">
        <v>103</v>
      </c>
      <c r="G10" s="16" t="s">
        <v>68</v>
      </c>
      <c r="H10" s="74">
        <v>3296</v>
      </c>
      <c r="I10" s="19">
        <v>1200</v>
      </c>
      <c r="J10" s="17"/>
      <c r="K10" s="18"/>
      <c r="L10" s="22" t="s">
        <v>71</v>
      </c>
      <c r="M10" s="23">
        <f>AVERAGE(H2:H100)</f>
        <v>2988.6565656565658</v>
      </c>
      <c r="N10" s="23">
        <f>MEDIAN(H2:H100)</f>
        <v>2989</v>
      </c>
    </row>
    <row r="11" spans="1:19" ht="15.5" thickTop="1" thickBot="1">
      <c r="A11" s="19" t="s">
        <v>72</v>
      </c>
      <c r="B11">
        <v>101581</v>
      </c>
      <c r="C11" s="19">
        <v>6</v>
      </c>
      <c r="D11" s="19">
        <v>60</v>
      </c>
      <c r="E11" s="15" t="s">
        <v>66</v>
      </c>
      <c r="F11" s="15" t="s">
        <v>103</v>
      </c>
      <c r="G11" s="16" t="s">
        <v>68</v>
      </c>
      <c r="H11" s="74">
        <v>3217</v>
      </c>
      <c r="I11" s="19">
        <v>1250</v>
      </c>
      <c r="J11" s="17"/>
      <c r="K11" s="18"/>
    </row>
    <row r="12" spans="1:19" ht="15.5" thickTop="1" thickBot="1">
      <c r="A12" s="19" t="s">
        <v>72</v>
      </c>
      <c r="B12">
        <v>101581</v>
      </c>
      <c r="C12" s="19">
        <v>6</v>
      </c>
      <c r="D12" s="19">
        <v>60</v>
      </c>
      <c r="E12" s="15" t="s">
        <v>66</v>
      </c>
      <c r="F12" s="15" t="s">
        <v>103</v>
      </c>
      <c r="G12" s="16" t="s">
        <v>68</v>
      </c>
      <c r="H12" s="74">
        <v>3435</v>
      </c>
      <c r="I12" s="24">
        <v>1300</v>
      </c>
      <c r="J12" s="17"/>
      <c r="K12" s="18"/>
    </row>
    <row r="13" spans="1:19" ht="15.5" thickTop="1" thickBot="1">
      <c r="A13" s="19" t="s">
        <v>73</v>
      </c>
      <c r="B13" s="19">
        <v>153817</v>
      </c>
      <c r="C13" s="19">
        <v>6</v>
      </c>
      <c r="D13" s="19">
        <v>60</v>
      </c>
      <c r="E13" s="15" t="s">
        <v>66</v>
      </c>
      <c r="F13" s="19" t="s">
        <v>67</v>
      </c>
      <c r="G13" s="16" t="s">
        <v>68</v>
      </c>
      <c r="H13" s="19">
        <v>3157</v>
      </c>
      <c r="I13" s="33">
        <v>800</v>
      </c>
      <c r="J13" s="17">
        <v>0.38614583333333335</v>
      </c>
      <c r="K13" s="18"/>
    </row>
    <row r="14" spans="1:19" ht="15.5" thickTop="1" thickBot="1">
      <c r="A14" s="19" t="s">
        <v>73</v>
      </c>
      <c r="B14" s="19">
        <v>153817</v>
      </c>
      <c r="C14" s="19">
        <v>6</v>
      </c>
      <c r="D14" s="19">
        <v>60</v>
      </c>
      <c r="E14" s="15" t="s">
        <v>66</v>
      </c>
      <c r="F14" s="19" t="s">
        <v>67</v>
      </c>
      <c r="G14" s="16" t="s">
        <v>68</v>
      </c>
      <c r="H14" s="19">
        <v>3058</v>
      </c>
      <c r="I14" s="19">
        <v>850</v>
      </c>
      <c r="J14" s="17"/>
      <c r="K14" s="18"/>
    </row>
    <row r="15" spans="1:19" ht="15.5" thickTop="1" thickBot="1">
      <c r="A15" s="19" t="s">
        <v>73</v>
      </c>
      <c r="B15" s="19">
        <v>153817</v>
      </c>
      <c r="C15" s="19">
        <v>6</v>
      </c>
      <c r="D15" s="19">
        <v>60</v>
      </c>
      <c r="E15" s="15" t="s">
        <v>66</v>
      </c>
      <c r="F15" s="19" t="s">
        <v>67</v>
      </c>
      <c r="G15" s="16" t="s">
        <v>68</v>
      </c>
      <c r="H15" s="19">
        <v>2919</v>
      </c>
      <c r="I15" s="19">
        <v>900</v>
      </c>
      <c r="J15" s="17"/>
      <c r="K15" s="18"/>
    </row>
    <row r="16" spans="1:19" ht="15.5" thickTop="1" thickBot="1">
      <c r="A16" s="19" t="s">
        <v>73</v>
      </c>
      <c r="B16" s="19">
        <v>153817</v>
      </c>
      <c r="C16" s="19">
        <v>6</v>
      </c>
      <c r="D16" s="19">
        <v>60</v>
      </c>
      <c r="E16" s="15" t="s">
        <v>66</v>
      </c>
      <c r="F16" s="19" t="s">
        <v>67</v>
      </c>
      <c r="G16" s="16" t="s">
        <v>68</v>
      </c>
      <c r="H16" s="19">
        <v>3167</v>
      </c>
      <c r="I16" s="19">
        <v>950</v>
      </c>
      <c r="J16" s="17"/>
      <c r="K16" s="18"/>
    </row>
    <row r="17" spans="1:11" ht="15.5" thickTop="1" thickBot="1">
      <c r="A17" s="19" t="s">
        <v>73</v>
      </c>
      <c r="B17" s="19">
        <v>153817</v>
      </c>
      <c r="C17" s="19">
        <v>6</v>
      </c>
      <c r="D17" s="19">
        <v>60</v>
      </c>
      <c r="E17" s="15" t="s">
        <v>66</v>
      </c>
      <c r="F17" s="19" t="s">
        <v>67</v>
      </c>
      <c r="G17" s="16" t="s">
        <v>68</v>
      </c>
      <c r="H17" s="19">
        <v>3078</v>
      </c>
      <c r="I17" s="19">
        <v>1000</v>
      </c>
      <c r="J17" s="17"/>
      <c r="K17" s="18"/>
    </row>
    <row r="18" spans="1:11" ht="15.5" thickTop="1" thickBot="1">
      <c r="A18" s="19" t="s">
        <v>73</v>
      </c>
      <c r="B18" s="19">
        <v>153817</v>
      </c>
      <c r="C18" s="19">
        <v>6</v>
      </c>
      <c r="D18" s="19">
        <v>60</v>
      </c>
      <c r="E18" s="15" t="s">
        <v>66</v>
      </c>
      <c r="F18" s="19" t="s">
        <v>67</v>
      </c>
      <c r="G18" s="16" t="s">
        <v>68</v>
      </c>
      <c r="H18" s="19">
        <v>3376</v>
      </c>
      <c r="I18" s="19">
        <v>1050</v>
      </c>
      <c r="J18" s="17"/>
      <c r="K18" s="18"/>
    </row>
    <row r="19" spans="1:11" ht="15.5" thickTop="1" thickBot="1">
      <c r="A19" s="19" t="s">
        <v>73</v>
      </c>
      <c r="B19" s="19">
        <v>153817</v>
      </c>
      <c r="C19" s="19">
        <v>6</v>
      </c>
      <c r="D19" s="19">
        <v>60</v>
      </c>
      <c r="E19" s="15" t="s">
        <v>66</v>
      </c>
      <c r="F19" s="19" t="s">
        <v>67</v>
      </c>
      <c r="G19" s="16" t="s">
        <v>68</v>
      </c>
      <c r="H19" s="19">
        <v>3634</v>
      </c>
      <c r="I19" s="19">
        <v>1100</v>
      </c>
      <c r="J19" s="17"/>
      <c r="K19" s="18"/>
    </row>
    <row r="20" spans="1:11" ht="15.5" thickTop="1" thickBot="1">
      <c r="A20" s="19" t="s">
        <v>73</v>
      </c>
      <c r="B20" s="19">
        <v>153817</v>
      </c>
      <c r="C20" s="19">
        <v>6</v>
      </c>
      <c r="D20" s="19">
        <v>60</v>
      </c>
      <c r="E20" s="15" t="s">
        <v>66</v>
      </c>
      <c r="F20" s="19" t="s">
        <v>67</v>
      </c>
      <c r="G20" s="16" t="s">
        <v>68</v>
      </c>
      <c r="H20" s="19">
        <v>3535</v>
      </c>
      <c r="I20" s="19">
        <v>1150</v>
      </c>
      <c r="J20" s="17"/>
      <c r="K20" s="18"/>
    </row>
    <row r="21" spans="1:11" ht="15.5" thickTop="1" thickBot="1">
      <c r="A21" s="19" t="s">
        <v>73</v>
      </c>
      <c r="B21" s="19">
        <v>153817</v>
      </c>
      <c r="C21" s="19">
        <v>6</v>
      </c>
      <c r="D21" s="19">
        <v>60</v>
      </c>
      <c r="E21" s="15" t="s">
        <v>66</v>
      </c>
      <c r="F21" s="19" t="s">
        <v>67</v>
      </c>
      <c r="G21" s="16" t="s">
        <v>68</v>
      </c>
      <c r="H21" s="19">
        <v>3376</v>
      </c>
      <c r="I21" s="19">
        <v>1200</v>
      </c>
      <c r="J21" s="17"/>
      <c r="K21" s="18"/>
    </row>
    <row r="22" spans="1:11" ht="15.5" thickTop="1" thickBot="1">
      <c r="A22" s="19" t="s">
        <v>73</v>
      </c>
      <c r="B22" s="19">
        <v>153817</v>
      </c>
      <c r="C22" s="19">
        <v>6</v>
      </c>
      <c r="D22" s="19">
        <v>60</v>
      </c>
      <c r="E22" s="15" t="s">
        <v>66</v>
      </c>
      <c r="F22" s="19" t="s">
        <v>67</v>
      </c>
      <c r="G22" s="16" t="s">
        <v>68</v>
      </c>
      <c r="H22" s="19">
        <v>3227</v>
      </c>
      <c r="I22" s="19">
        <v>1250</v>
      </c>
      <c r="J22" s="17"/>
      <c r="K22" s="18"/>
    </row>
    <row r="23" spans="1:11" ht="15.5" thickTop="1" thickBot="1">
      <c r="A23" s="19" t="s">
        <v>73</v>
      </c>
      <c r="B23" s="19">
        <v>153817</v>
      </c>
      <c r="C23" s="19">
        <v>6</v>
      </c>
      <c r="D23" s="19">
        <v>60</v>
      </c>
      <c r="E23" s="15" t="s">
        <v>66</v>
      </c>
      <c r="F23" s="19" t="s">
        <v>67</v>
      </c>
      <c r="G23" s="16" t="s">
        <v>68</v>
      </c>
      <c r="H23" s="19">
        <v>3038</v>
      </c>
      <c r="I23" s="24">
        <v>1300</v>
      </c>
      <c r="J23" s="17"/>
      <c r="K23" s="18"/>
    </row>
    <row r="24" spans="1:11" ht="15.5" thickTop="1" thickBot="1">
      <c r="A24" s="19" t="s">
        <v>74</v>
      </c>
      <c r="B24" s="19">
        <v>248887</v>
      </c>
      <c r="C24" s="19">
        <v>6</v>
      </c>
      <c r="D24" s="19">
        <v>60</v>
      </c>
      <c r="E24" s="15" t="s">
        <v>66</v>
      </c>
      <c r="F24" s="19" t="s">
        <v>103</v>
      </c>
      <c r="G24" s="16" t="s">
        <v>68</v>
      </c>
      <c r="H24" s="19">
        <v>2840</v>
      </c>
      <c r="I24" s="33">
        <v>800</v>
      </c>
      <c r="J24" s="17"/>
      <c r="K24" s="18"/>
    </row>
    <row r="25" spans="1:11" ht="15.5" thickTop="1" thickBot="1">
      <c r="A25" s="19" t="s">
        <v>74</v>
      </c>
      <c r="B25" s="19">
        <v>248887</v>
      </c>
      <c r="C25" s="19">
        <v>6</v>
      </c>
      <c r="D25" s="19">
        <v>60</v>
      </c>
      <c r="E25" s="15" t="s">
        <v>66</v>
      </c>
      <c r="F25" s="19" t="s">
        <v>103</v>
      </c>
      <c r="G25" s="16" t="s">
        <v>68</v>
      </c>
      <c r="H25" s="19">
        <v>2671</v>
      </c>
      <c r="I25" s="19">
        <v>850</v>
      </c>
      <c r="J25" s="17"/>
      <c r="K25" s="18"/>
    </row>
    <row r="26" spans="1:11" ht="15.5" thickTop="1" thickBot="1">
      <c r="A26" s="19" t="s">
        <v>74</v>
      </c>
      <c r="B26" s="19">
        <v>248887</v>
      </c>
      <c r="C26" s="19">
        <v>6</v>
      </c>
      <c r="D26" s="19">
        <v>60</v>
      </c>
      <c r="E26" s="15" t="s">
        <v>66</v>
      </c>
      <c r="F26" s="19" t="s">
        <v>103</v>
      </c>
      <c r="G26" s="16" t="s">
        <v>68</v>
      </c>
      <c r="H26" s="19">
        <v>2542</v>
      </c>
      <c r="I26" s="19">
        <v>900</v>
      </c>
      <c r="J26" s="17"/>
      <c r="K26" s="18"/>
    </row>
    <row r="27" spans="1:11" ht="15.5" thickTop="1" thickBot="1">
      <c r="A27" s="19" t="s">
        <v>74</v>
      </c>
      <c r="B27" s="19">
        <v>248887</v>
      </c>
      <c r="C27" s="19">
        <v>6</v>
      </c>
      <c r="D27" s="19">
        <v>60</v>
      </c>
      <c r="E27" s="15" t="s">
        <v>66</v>
      </c>
      <c r="F27" s="19" t="s">
        <v>103</v>
      </c>
      <c r="G27" s="16" t="s">
        <v>68</v>
      </c>
      <c r="H27" s="19">
        <v>2442</v>
      </c>
      <c r="I27" s="19">
        <v>950</v>
      </c>
      <c r="J27" s="17"/>
      <c r="K27" s="18"/>
    </row>
    <row r="28" spans="1:11" ht="15.5" thickTop="1" thickBot="1">
      <c r="A28" s="19" t="s">
        <v>74</v>
      </c>
      <c r="B28" s="19">
        <v>248887</v>
      </c>
      <c r="C28" s="19">
        <v>6</v>
      </c>
      <c r="D28" s="19">
        <v>60</v>
      </c>
      <c r="E28" s="15" t="s">
        <v>66</v>
      </c>
      <c r="F28" s="19" t="s">
        <v>103</v>
      </c>
      <c r="G28" s="16" t="s">
        <v>68</v>
      </c>
      <c r="H28" s="19">
        <v>2681</v>
      </c>
      <c r="I28" s="19">
        <v>1000</v>
      </c>
      <c r="J28" s="17"/>
      <c r="K28" s="18"/>
    </row>
    <row r="29" spans="1:11" ht="15.5" thickTop="1" thickBot="1">
      <c r="A29" s="19" t="s">
        <v>74</v>
      </c>
      <c r="B29" s="19">
        <v>248887</v>
      </c>
      <c r="C29" s="19">
        <v>6</v>
      </c>
      <c r="D29" s="19">
        <v>60</v>
      </c>
      <c r="E29" s="15" t="s">
        <v>66</v>
      </c>
      <c r="F29" s="19" t="s">
        <v>103</v>
      </c>
      <c r="G29" s="16" t="s">
        <v>68</v>
      </c>
      <c r="H29" s="19">
        <v>2999</v>
      </c>
      <c r="I29" s="19">
        <v>1050</v>
      </c>
      <c r="J29" s="17"/>
      <c r="K29" s="18"/>
    </row>
    <row r="30" spans="1:11" ht="15.5" thickTop="1" thickBot="1">
      <c r="A30" s="19" t="s">
        <v>74</v>
      </c>
      <c r="B30" s="19">
        <v>248887</v>
      </c>
      <c r="C30" s="19">
        <v>6</v>
      </c>
      <c r="D30" s="19">
        <v>60</v>
      </c>
      <c r="E30" s="15" t="s">
        <v>66</v>
      </c>
      <c r="F30" s="19" t="s">
        <v>103</v>
      </c>
      <c r="G30" s="16" t="s">
        <v>68</v>
      </c>
      <c r="H30" s="19">
        <v>3654</v>
      </c>
      <c r="I30" s="19">
        <v>1100</v>
      </c>
      <c r="J30" s="17"/>
      <c r="K30" s="18"/>
    </row>
    <row r="31" spans="1:11" ht="15.5" thickTop="1" thickBot="1">
      <c r="A31" s="19" t="s">
        <v>74</v>
      </c>
      <c r="B31" s="19">
        <v>248887</v>
      </c>
      <c r="C31" s="19">
        <v>6</v>
      </c>
      <c r="D31" s="19">
        <v>60</v>
      </c>
      <c r="E31" s="15" t="s">
        <v>66</v>
      </c>
      <c r="F31" s="19" t="s">
        <v>103</v>
      </c>
      <c r="G31" s="16" t="s">
        <v>68</v>
      </c>
      <c r="H31" s="19">
        <v>3919</v>
      </c>
      <c r="I31" s="19">
        <v>1150</v>
      </c>
      <c r="J31" s="17"/>
      <c r="K31" s="18"/>
    </row>
    <row r="32" spans="1:11" ht="15.5" thickTop="1" thickBot="1">
      <c r="A32" s="19" t="s">
        <v>74</v>
      </c>
      <c r="B32" s="19">
        <v>248887</v>
      </c>
      <c r="C32" s="19">
        <v>6</v>
      </c>
      <c r="D32" s="19">
        <v>60</v>
      </c>
      <c r="E32" s="15" t="s">
        <v>66</v>
      </c>
      <c r="F32" s="19" t="s">
        <v>103</v>
      </c>
      <c r="G32" s="16" t="s">
        <v>68</v>
      </c>
      <c r="H32" s="19">
        <v>3773</v>
      </c>
      <c r="I32" s="19">
        <v>1200</v>
      </c>
      <c r="J32" s="17"/>
      <c r="K32" s="18"/>
    </row>
    <row r="33" spans="1:11" ht="15.5" thickTop="1" thickBot="1">
      <c r="A33" s="19" t="s">
        <v>74</v>
      </c>
      <c r="B33" s="19">
        <v>248887</v>
      </c>
      <c r="C33" s="19">
        <v>6</v>
      </c>
      <c r="D33" s="19">
        <v>60</v>
      </c>
      <c r="E33" s="15" t="s">
        <v>66</v>
      </c>
      <c r="F33" s="19" t="s">
        <v>103</v>
      </c>
      <c r="G33" s="16" t="s">
        <v>68</v>
      </c>
      <c r="H33" s="19">
        <v>3535</v>
      </c>
      <c r="I33" s="19">
        <v>1250</v>
      </c>
      <c r="J33" s="17"/>
      <c r="K33" s="18"/>
    </row>
    <row r="34" spans="1:11" ht="15.5" thickTop="1" thickBot="1">
      <c r="A34" s="19" t="s">
        <v>74</v>
      </c>
      <c r="B34" s="19">
        <v>248887</v>
      </c>
      <c r="C34" s="19">
        <v>6</v>
      </c>
      <c r="D34" s="19">
        <v>60</v>
      </c>
      <c r="E34" s="15" t="s">
        <v>66</v>
      </c>
      <c r="F34" s="19" t="s">
        <v>103</v>
      </c>
      <c r="G34" s="16" t="s">
        <v>68</v>
      </c>
      <c r="H34" s="19">
        <v>3406</v>
      </c>
      <c r="I34" s="24">
        <v>1300</v>
      </c>
      <c r="J34" s="17"/>
      <c r="K34" s="18"/>
    </row>
    <row r="35" spans="1:11" ht="15.5" thickTop="1" thickBot="1">
      <c r="A35" s="19" t="s">
        <v>75</v>
      </c>
      <c r="B35" s="19">
        <v>320143</v>
      </c>
      <c r="C35" s="19">
        <v>6</v>
      </c>
      <c r="D35" s="19">
        <v>60</v>
      </c>
      <c r="E35" s="15" t="s">
        <v>66</v>
      </c>
      <c r="F35" s="19" t="s">
        <v>103</v>
      </c>
      <c r="G35" s="16" t="s">
        <v>68</v>
      </c>
      <c r="H35" s="19">
        <v>3207</v>
      </c>
      <c r="I35" s="33">
        <v>800</v>
      </c>
      <c r="J35" s="17"/>
      <c r="K35" s="18"/>
    </row>
    <row r="36" spans="1:11" ht="15.5" thickTop="1" thickBot="1">
      <c r="A36" s="19" t="s">
        <v>75</v>
      </c>
      <c r="B36" s="19">
        <v>320143</v>
      </c>
      <c r="C36" s="19">
        <v>6</v>
      </c>
      <c r="D36" s="19">
        <v>60</v>
      </c>
      <c r="E36" s="15" t="s">
        <v>66</v>
      </c>
      <c r="F36" s="19" t="s">
        <v>103</v>
      </c>
      <c r="G36" s="16" t="s">
        <v>68</v>
      </c>
      <c r="H36" s="19">
        <v>3038</v>
      </c>
      <c r="I36" s="19">
        <v>850</v>
      </c>
      <c r="J36" s="17"/>
      <c r="K36" s="18"/>
    </row>
    <row r="37" spans="1:11" ht="15.5" thickTop="1" thickBot="1">
      <c r="A37" s="19" t="s">
        <v>75</v>
      </c>
      <c r="B37" s="19">
        <v>320143</v>
      </c>
      <c r="C37" s="19">
        <v>6</v>
      </c>
      <c r="D37" s="19">
        <v>60</v>
      </c>
      <c r="E37" s="15" t="s">
        <v>66</v>
      </c>
      <c r="F37" s="19" t="s">
        <v>103</v>
      </c>
      <c r="G37" s="16" t="s">
        <v>68</v>
      </c>
      <c r="H37" s="19">
        <v>2929</v>
      </c>
      <c r="I37" s="19">
        <v>900</v>
      </c>
      <c r="J37" s="17"/>
      <c r="K37" s="18"/>
    </row>
    <row r="38" spans="1:11" ht="15.5" thickTop="1" thickBot="1">
      <c r="A38" s="19" t="s">
        <v>75</v>
      </c>
      <c r="B38" s="19">
        <v>320143</v>
      </c>
      <c r="C38" s="19">
        <v>6</v>
      </c>
      <c r="D38" s="19">
        <v>60</v>
      </c>
      <c r="E38" s="15" t="s">
        <v>66</v>
      </c>
      <c r="F38" s="19" t="s">
        <v>103</v>
      </c>
      <c r="G38" s="16" t="s">
        <v>68</v>
      </c>
      <c r="H38" s="19">
        <v>2790</v>
      </c>
      <c r="I38" s="19">
        <v>950</v>
      </c>
      <c r="J38" s="17"/>
      <c r="K38" s="18"/>
    </row>
    <row r="39" spans="1:11" ht="15.5" thickTop="1" thickBot="1">
      <c r="A39" s="19" t="s">
        <v>75</v>
      </c>
      <c r="B39" s="19">
        <v>320143</v>
      </c>
      <c r="C39" s="19">
        <v>6</v>
      </c>
      <c r="D39" s="19">
        <v>60</v>
      </c>
      <c r="E39" s="15" t="s">
        <v>66</v>
      </c>
      <c r="F39" s="19" t="s">
        <v>103</v>
      </c>
      <c r="G39" s="16" t="s">
        <v>68</v>
      </c>
      <c r="H39" s="19">
        <v>3038</v>
      </c>
      <c r="I39" s="19">
        <v>1000</v>
      </c>
      <c r="J39" s="17"/>
      <c r="K39" s="18"/>
    </row>
    <row r="40" spans="1:11" ht="15.5" thickTop="1" thickBot="1">
      <c r="A40" s="19" t="s">
        <v>75</v>
      </c>
      <c r="B40" s="19">
        <v>320143</v>
      </c>
      <c r="C40" s="19">
        <v>6</v>
      </c>
      <c r="D40" s="19">
        <v>60</v>
      </c>
      <c r="E40" s="15" t="s">
        <v>66</v>
      </c>
      <c r="F40" s="19" t="s">
        <v>103</v>
      </c>
      <c r="G40" s="16" t="s">
        <v>68</v>
      </c>
      <c r="H40" s="19">
        <v>2889</v>
      </c>
      <c r="I40" s="19">
        <v>1050</v>
      </c>
      <c r="J40" s="17"/>
      <c r="K40" s="18"/>
    </row>
    <row r="41" spans="1:11" ht="15.5" thickTop="1" thickBot="1">
      <c r="A41" s="19" t="s">
        <v>75</v>
      </c>
      <c r="B41" s="19">
        <v>320143</v>
      </c>
      <c r="C41" s="19">
        <v>6</v>
      </c>
      <c r="D41" s="19">
        <v>60</v>
      </c>
      <c r="E41" s="15" t="s">
        <v>66</v>
      </c>
      <c r="F41" s="19" t="s">
        <v>103</v>
      </c>
      <c r="G41" s="16" t="s">
        <v>68</v>
      </c>
      <c r="H41" s="19">
        <v>2800</v>
      </c>
      <c r="I41" s="19">
        <v>1100</v>
      </c>
      <c r="J41" s="17"/>
      <c r="K41" s="18"/>
    </row>
    <row r="42" spans="1:11" ht="15.5" thickTop="1" thickBot="1">
      <c r="A42" s="19" t="s">
        <v>75</v>
      </c>
      <c r="B42" s="19">
        <v>320143</v>
      </c>
      <c r="C42" s="19">
        <v>6</v>
      </c>
      <c r="D42" s="19">
        <v>60</v>
      </c>
      <c r="E42" s="15" t="s">
        <v>66</v>
      </c>
      <c r="F42" s="19" t="s">
        <v>103</v>
      </c>
      <c r="G42" s="16" t="s">
        <v>68</v>
      </c>
      <c r="H42" s="19">
        <v>2711</v>
      </c>
      <c r="I42" s="19">
        <v>1150</v>
      </c>
      <c r="J42" s="17"/>
      <c r="K42" s="18"/>
    </row>
    <row r="43" spans="1:11" ht="15.5" thickTop="1" thickBot="1">
      <c r="A43" s="19" t="s">
        <v>75</v>
      </c>
      <c r="B43" s="19">
        <v>320143</v>
      </c>
      <c r="C43" s="19">
        <v>6</v>
      </c>
      <c r="D43" s="19">
        <v>60</v>
      </c>
      <c r="E43" s="15" t="s">
        <v>66</v>
      </c>
      <c r="F43" s="19" t="s">
        <v>103</v>
      </c>
      <c r="G43" s="16" t="s">
        <v>68</v>
      </c>
      <c r="H43" s="19">
        <v>2969</v>
      </c>
      <c r="I43" s="19">
        <v>1200</v>
      </c>
      <c r="J43" s="17"/>
      <c r="K43" s="18"/>
    </row>
    <row r="44" spans="1:11" ht="15.5" thickTop="1" thickBot="1">
      <c r="A44" s="19" t="s">
        <v>75</v>
      </c>
      <c r="B44" s="19">
        <v>320143</v>
      </c>
      <c r="C44" s="19">
        <v>6</v>
      </c>
      <c r="D44" s="19">
        <v>60</v>
      </c>
      <c r="E44" s="15" t="s">
        <v>66</v>
      </c>
      <c r="F44" s="19" t="s">
        <v>103</v>
      </c>
      <c r="G44" s="16" t="s">
        <v>68</v>
      </c>
      <c r="H44" s="19">
        <v>2830</v>
      </c>
      <c r="I44" s="19">
        <v>1250</v>
      </c>
      <c r="J44" s="17"/>
      <c r="K44" s="18"/>
    </row>
    <row r="45" spans="1:11" ht="15.5" thickTop="1" thickBot="1">
      <c r="A45" s="19" t="s">
        <v>75</v>
      </c>
      <c r="B45" s="19">
        <v>320143</v>
      </c>
      <c r="C45" s="19">
        <v>6</v>
      </c>
      <c r="D45" s="19">
        <v>60</v>
      </c>
      <c r="E45" s="15" t="s">
        <v>66</v>
      </c>
      <c r="F45" s="19" t="s">
        <v>103</v>
      </c>
      <c r="G45" s="16" t="s">
        <v>68</v>
      </c>
      <c r="H45" s="19">
        <v>2701</v>
      </c>
      <c r="I45" s="24">
        <v>1300</v>
      </c>
      <c r="J45" s="17"/>
      <c r="K45" s="18"/>
    </row>
    <row r="46" spans="1:11" ht="15.5" thickTop="1" thickBot="1">
      <c r="A46" s="19" t="s">
        <v>76</v>
      </c>
      <c r="B46" s="19">
        <v>403219</v>
      </c>
      <c r="C46" s="19">
        <v>6</v>
      </c>
      <c r="D46" s="19">
        <v>60</v>
      </c>
      <c r="E46" s="15" t="s">
        <v>66</v>
      </c>
      <c r="F46" s="19" t="s">
        <v>78</v>
      </c>
      <c r="G46" s="16" t="s">
        <v>68</v>
      </c>
      <c r="H46" s="19">
        <v>2909</v>
      </c>
      <c r="I46" s="33">
        <v>800</v>
      </c>
      <c r="J46" s="17">
        <v>0.54668981481481482</v>
      </c>
      <c r="K46" s="18"/>
    </row>
    <row r="47" spans="1:11" ht="15.5" thickTop="1" thickBot="1">
      <c r="A47" s="19" t="s">
        <v>76</v>
      </c>
      <c r="B47" s="19">
        <v>403219</v>
      </c>
      <c r="C47" s="19">
        <v>6</v>
      </c>
      <c r="D47" s="19">
        <v>60</v>
      </c>
      <c r="E47" s="15" t="s">
        <v>66</v>
      </c>
      <c r="F47" s="19" t="s">
        <v>78</v>
      </c>
      <c r="G47" s="16" t="s">
        <v>68</v>
      </c>
      <c r="H47" s="19">
        <v>2770</v>
      </c>
      <c r="I47" s="19">
        <v>850</v>
      </c>
      <c r="J47" s="17"/>
      <c r="K47" s="18"/>
    </row>
    <row r="48" spans="1:11" ht="15.5" thickTop="1" thickBot="1">
      <c r="A48" s="19" t="s">
        <v>76</v>
      </c>
      <c r="B48" s="19">
        <v>403219</v>
      </c>
      <c r="C48" s="19">
        <v>6</v>
      </c>
      <c r="D48" s="19">
        <v>60</v>
      </c>
      <c r="E48" s="15" t="s">
        <v>66</v>
      </c>
      <c r="F48" s="19" t="s">
        <v>78</v>
      </c>
      <c r="G48" s="16" t="s">
        <v>68</v>
      </c>
      <c r="H48" s="19">
        <v>2651</v>
      </c>
      <c r="I48" s="19">
        <v>900</v>
      </c>
      <c r="J48" s="17"/>
      <c r="K48" s="18"/>
    </row>
    <row r="49" spans="1:11" ht="15.5" thickTop="1" thickBot="1">
      <c r="A49" s="19" t="s">
        <v>76</v>
      </c>
      <c r="B49" s="19">
        <v>403219</v>
      </c>
      <c r="C49" s="19">
        <v>6</v>
      </c>
      <c r="D49" s="19">
        <v>60</v>
      </c>
      <c r="E49" s="15" t="s">
        <v>66</v>
      </c>
      <c r="F49" s="19" t="s">
        <v>78</v>
      </c>
      <c r="G49" s="16" t="s">
        <v>68</v>
      </c>
      <c r="H49" s="19">
        <v>2949</v>
      </c>
      <c r="I49" s="19">
        <v>950</v>
      </c>
      <c r="J49" s="17"/>
      <c r="K49" s="18"/>
    </row>
    <row r="50" spans="1:11" ht="15.5" thickTop="1" thickBot="1">
      <c r="A50" s="19" t="s">
        <v>76</v>
      </c>
      <c r="B50" s="19">
        <v>403219</v>
      </c>
      <c r="C50" s="19">
        <v>6</v>
      </c>
      <c r="D50" s="19">
        <v>60</v>
      </c>
      <c r="E50" s="15" t="s">
        <v>66</v>
      </c>
      <c r="F50" s="19" t="s">
        <v>78</v>
      </c>
      <c r="G50" s="16" t="s">
        <v>68</v>
      </c>
      <c r="H50" s="19">
        <v>2760</v>
      </c>
      <c r="I50" s="19">
        <v>1000</v>
      </c>
      <c r="J50" s="17"/>
      <c r="K50" s="18"/>
    </row>
    <row r="51" spans="1:11" ht="15.5" thickTop="1" thickBot="1">
      <c r="A51" s="19" t="s">
        <v>76</v>
      </c>
      <c r="B51" s="19">
        <v>403219</v>
      </c>
      <c r="C51" s="19">
        <v>6</v>
      </c>
      <c r="D51" s="19">
        <v>60</v>
      </c>
      <c r="E51" s="15" t="s">
        <v>66</v>
      </c>
      <c r="F51" s="19" t="s">
        <v>78</v>
      </c>
      <c r="G51" s="16" t="s">
        <v>68</v>
      </c>
      <c r="H51" s="19">
        <v>2641</v>
      </c>
      <c r="I51" s="19">
        <v>1050</v>
      </c>
      <c r="J51" s="17"/>
      <c r="K51" s="18"/>
    </row>
    <row r="52" spans="1:11" ht="15.5" thickTop="1" thickBot="1">
      <c r="A52" s="19" t="s">
        <v>76</v>
      </c>
      <c r="B52" s="19">
        <v>403219</v>
      </c>
      <c r="C52" s="19">
        <v>6</v>
      </c>
      <c r="D52" s="19">
        <v>60</v>
      </c>
      <c r="E52" s="15" t="s">
        <v>66</v>
      </c>
      <c r="F52" s="19" t="s">
        <v>78</v>
      </c>
      <c r="G52" s="16" t="s">
        <v>68</v>
      </c>
      <c r="H52" s="19">
        <v>2820</v>
      </c>
      <c r="I52" s="19">
        <v>1100</v>
      </c>
      <c r="J52" s="17"/>
      <c r="K52" s="18"/>
    </row>
    <row r="53" spans="1:11" ht="15.5" thickTop="1" thickBot="1">
      <c r="A53" s="19" t="s">
        <v>76</v>
      </c>
      <c r="B53" s="19">
        <v>403219</v>
      </c>
      <c r="C53" s="19">
        <v>6</v>
      </c>
      <c r="D53" s="19">
        <v>60</v>
      </c>
      <c r="E53" s="15" t="s">
        <v>66</v>
      </c>
      <c r="F53" s="19" t="s">
        <v>78</v>
      </c>
      <c r="G53" s="16" t="s">
        <v>68</v>
      </c>
      <c r="H53" s="19">
        <v>2691</v>
      </c>
      <c r="I53" s="19">
        <v>1150</v>
      </c>
      <c r="J53" s="17"/>
      <c r="K53" s="18"/>
    </row>
    <row r="54" spans="1:11" ht="15.5" thickTop="1" thickBot="1">
      <c r="A54" s="19" t="s">
        <v>76</v>
      </c>
      <c r="B54" s="19">
        <v>403219</v>
      </c>
      <c r="C54" s="19">
        <v>6</v>
      </c>
      <c r="D54" s="19">
        <v>60</v>
      </c>
      <c r="E54" s="15" t="s">
        <v>66</v>
      </c>
      <c r="F54" s="19" t="s">
        <v>78</v>
      </c>
      <c r="G54" s="16" t="s">
        <v>68</v>
      </c>
      <c r="H54" s="19">
        <v>3326</v>
      </c>
      <c r="I54" s="19">
        <v>1200</v>
      </c>
      <c r="J54" s="17"/>
      <c r="K54" s="18"/>
    </row>
    <row r="55" spans="1:11" ht="15.5" thickTop="1" thickBot="1">
      <c r="A55" s="19" t="s">
        <v>76</v>
      </c>
      <c r="B55" s="19">
        <v>403219</v>
      </c>
      <c r="C55" s="19">
        <v>6</v>
      </c>
      <c r="D55" s="19">
        <v>60</v>
      </c>
      <c r="E55" s="15" t="s">
        <v>66</v>
      </c>
      <c r="F55" s="19" t="s">
        <v>78</v>
      </c>
      <c r="G55" s="16" t="s">
        <v>68</v>
      </c>
      <c r="H55" s="19">
        <v>3187</v>
      </c>
      <c r="I55" s="19">
        <v>1250</v>
      </c>
      <c r="J55" s="17"/>
      <c r="K55" s="18"/>
    </row>
    <row r="56" spans="1:11" ht="15.5" thickTop="1" thickBot="1">
      <c r="A56" s="19" t="s">
        <v>76</v>
      </c>
      <c r="B56" s="19">
        <v>403219</v>
      </c>
      <c r="C56" s="19">
        <v>6</v>
      </c>
      <c r="D56" s="19">
        <v>60</v>
      </c>
      <c r="E56" s="15" t="s">
        <v>66</v>
      </c>
      <c r="F56" s="19" t="s">
        <v>78</v>
      </c>
      <c r="G56" s="16" t="s">
        <v>68</v>
      </c>
      <c r="H56" s="19">
        <v>1813</v>
      </c>
      <c r="I56" s="24">
        <v>1300</v>
      </c>
      <c r="J56" s="17"/>
      <c r="K56" s="18"/>
    </row>
    <row r="57" spans="1:11" ht="15.5" thickTop="1" thickBot="1">
      <c r="A57" s="19" t="s">
        <v>80</v>
      </c>
      <c r="B57" s="19">
        <v>530797</v>
      </c>
      <c r="C57" s="19">
        <v>6</v>
      </c>
      <c r="D57" s="19">
        <v>60</v>
      </c>
      <c r="E57" s="15" t="s">
        <v>66</v>
      </c>
      <c r="F57" s="19" t="s">
        <v>103</v>
      </c>
      <c r="G57" s="16" t="s">
        <v>68</v>
      </c>
      <c r="H57" s="19">
        <v>2105</v>
      </c>
      <c r="I57" s="33">
        <v>800</v>
      </c>
      <c r="J57" s="17"/>
      <c r="K57" s="18"/>
    </row>
    <row r="58" spans="1:11" ht="15.5" thickTop="1" thickBot="1">
      <c r="A58" s="19" t="s">
        <v>80</v>
      </c>
      <c r="B58" s="19">
        <v>530797</v>
      </c>
      <c r="C58" s="19">
        <v>6</v>
      </c>
      <c r="D58" s="19">
        <v>60</v>
      </c>
      <c r="E58" s="15" t="s">
        <v>66</v>
      </c>
      <c r="F58" s="19" t="s">
        <v>103</v>
      </c>
      <c r="G58" s="16" t="s">
        <v>68</v>
      </c>
      <c r="H58" s="33">
        <v>1986</v>
      </c>
      <c r="I58" s="19">
        <v>850</v>
      </c>
      <c r="J58" s="17"/>
      <c r="K58" s="18"/>
    </row>
    <row r="59" spans="1:11" ht="15.5" thickTop="1" thickBot="1">
      <c r="A59" s="19" t="s">
        <v>80</v>
      </c>
      <c r="B59" s="19">
        <v>530797</v>
      </c>
      <c r="C59" s="19">
        <v>6</v>
      </c>
      <c r="D59" s="19">
        <v>60</v>
      </c>
      <c r="E59" s="15" t="s">
        <v>66</v>
      </c>
      <c r="F59" s="19" t="s">
        <v>103</v>
      </c>
      <c r="G59" s="16" t="s">
        <v>68</v>
      </c>
      <c r="H59" s="33">
        <v>1847</v>
      </c>
      <c r="I59" s="19">
        <v>900</v>
      </c>
      <c r="J59" s="17"/>
      <c r="K59" s="18"/>
    </row>
    <row r="60" spans="1:11" ht="15.5" thickTop="1" thickBot="1">
      <c r="A60" s="19" t="s">
        <v>80</v>
      </c>
      <c r="B60" s="19">
        <v>530797</v>
      </c>
      <c r="C60" s="19">
        <v>6</v>
      </c>
      <c r="D60" s="19">
        <v>60</v>
      </c>
      <c r="E60" s="15" t="s">
        <v>66</v>
      </c>
      <c r="F60" s="19" t="s">
        <v>103</v>
      </c>
      <c r="G60" s="16" t="s">
        <v>68</v>
      </c>
      <c r="H60" s="33">
        <v>2065</v>
      </c>
      <c r="I60" s="19">
        <v>950</v>
      </c>
      <c r="J60" s="17"/>
      <c r="K60" s="18"/>
    </row>
    <row r="61" spans="1:11" ht="15.5" thickTop="1" thickBot="1">
      <c r="A61" s="19" t="s">
        <v>80</v>
      </c>
      <c r="B61" s="19">
        <v>530797</v>
      </c>
      <c r="C61" s="19">
        <v>6</v>
      </c>
      <c r="D61" s="19">
        <v>60</v>
      </c>
      <c r="E61" s="15" t="s">
        <v>66</v>
      </c>
      <c r="F61" s="19" t="s">
        <v>103</v>
      </c>
      <c r="G61" s="16" t="s">
        <v>68</v>
      </c>
      <c r="H61" s="33">
        <v>1916</v>
      </c>
      <c r="I61" s="19">
        <v>1000</v>
      </c>
      <c r="J61" s="17"/>
      <c r="K61" s="18"/>
    </row>
    <row r="62" spans="1:11" ht="15.5" thickTop="1" thickBot="1">
      <c r="A62" s="19" t="s">
        <v>80</v>
      </c>
      <c r="B62" s="19">
        <v>530797</v>
      </c>
      <c r="C62" s="19">
        <v>6</v>
      </c>
      <c r="D62" s="19">
        <v>60</v>
      </c>
      <c r="E62" s="15" t="s">
        <v>66</v>
      </c>
      <c r="F62" s="19" t="s">
        <v>103</v>
      </c>
      <c r="G62" s="16" t="s">
        <v>68</v>
      </c>
      <c r="H62" s="33">
        <v>2115</v>
      </c>
      <c r="I62" s="19">
        <v>1050</v>
      </c>
      <c r="J62" s="17"/>
      <c r="K62" s="18"/>
    </row>
    <row r="63" spans="1:11" ht="15.5" thickTop="1" thickBot="1">
      <c r="A63" s="19" t="s">
        <v>80</v>
      </c>
      <c r="B63" s="19">
        <v>530797</v>
      </c>
      <c r="C63" s="19">
        <v>6</v>
      </c>
      <c r="D63" s="19">
        <v>60</v>
      </c>
      <c r="E63" s="15" t="s">
        <v>66</v>
      </c>
      <c r="F63" s="19" t="s">
        <v>103</v>
      </c>
      <c r="G63" s="16" t="s">
        <v>68</v>
      </c>
      <c r="H63" s="33">
        <v>2373</v>
      </c>
      <c r="I63" s="19">
        <v>1100</v>
      </c>
      <c r="J63" s="17"/>
      <c r="K63" s="18"/>
    </row>
    <row r="64" spans="1:11" ht="15.5" thickTop="1" thickBot="1">
      <c r="A64" s="19" t="s">
        <v>80</v>
      </c>
      <c r="B64" s="19">
        <v>530797</v>
      </c>
      <c r="C64" s="19">
        <v>6</v>
      </c>
      <c r="D64" s="19">
        <v>60</v>
      </c>
      <c r="E64" s="15" t="s">
        <v>66</v>
      </c>
      <c r="F64" s="19" t="s">
        <v>103</v>
      </c>
      <c r="G64" s="16" t="s">
        <v>68</v>
      </c>
      <c r="H64" s="33">
        <v>2234</v>
      </c>
      <c r="I64" s="19">
        <v>1150</v>
      </c>
      <c r="J64" s="17"/>
      <c r="K64" s="18"/>
    </row>
    <row r="65" spans="1:11" ht="15.5" thickTop="1" thickBot="1">
      <c r="A65" s="19" t="s">
        <v>80</v>
      </c>
      <c r="B65" s="19">
        <v>530797</v>
      </c>
      <c r="C65" s="19">
        <v>6</v>
      </c>
      <c r="D65" s="19">
        <v>60</v>
      </c>
      <c r="E65" s="15" t="s">
        <v>66</v>
      </c>
      <c r="F65" s="19" t="s">
        <v>103</v>
      </c>
      <c r="G65" s="16" t="s">
        <v>68</v>
      </c>
      <c r="H65" s="33">
        <v>3257</v>
      </c>
      <c r="I65" s="19">
        <v>1200</v>
      </c>
      <c r="J65" s="17"/>
      <c r="K65" s="18"/>
    </row>
    <row r="66" spans="1:11" ht="15.5" thickTop="1" thickBot="1">
      <c r="A66" s="19" t="s">
        <v>80</v>
      </c>
      <c r="B66" s="19">
        <v>530797</v>
      </c>
      <c r="C66" s="19">
        <v>6</v>
      </c>
      <c r="D66" s="19">
        <v>60</v>
      </c>
      <c r="E66" s="15" t="s">
        <v>66</v>
      </c>
      <c r="F66" s="19" t="s">
        <v>103</v>
      </c>
      <c r="G66" s="16" t="s">
        <v>68</v>
      </c>
      <c r="H66" s="33">
        <v>3138</v>
      </c>
      <c r="I66" s="19">
        <v>1250</v>
      </c>
      <c r="J66" s="17"/>
      <c r="K66" s="18"/>
    </row>
    <row r="67" spans="1:11" ht="15.5" thickTop="1" thickBot="1">
      <c r="A67" s="19" t="s">
        <v>80</v>
      </c>
      <c r="B67" s="19">
        <v>530797</v>
      </c>
      <c r="C67" s="19">
        <v>6</v>
      </c>
      <c r="D67" s="19">
        <v>60</v>
      </c>
      <c r="E67" s="15" t="s">
        <v>66</v>
      </c>
      <c r="F67" s="19" t="s">
        <v>103</v>
      </c>
      <c r="G67" s="16" t="s">
        <v>68</v>
      </c>
      <c r="H67" s="33">
        <v>3028</v>
      </c>
      <c r="I67" s="24">
        <v>1300</v>
      </c>
      <c r="J67" s="17"/>
      <c r="K67" s="18"/>
    </row>
    <row r="68" spans="1:11" ht="15.5" thickTop="1" thickBot="1">
      <c r="A68" s="19" t="s">
        <v>81</v>
      </c>
      <c r="B68" s="19">
        <v>683377</v>
      </c>
      <c r="C68" s="19">
        <v>6</v>
      </c>
      <c r="D68" s="19">
        <v>60</v>
      </c>
      <c r="E68" s="15" t="s">
        <v>66</v>
      </c>
      <c r="F68" s="19" t="s">
        <v>103</v>
      </c>
      <c r="G68" s="16" t="s">
        <v>68</v>
      </c>
      <c r="H68" s="33">
        <v>3217</v>
      </c>
      <c r="I68" s="33">
        <v>800</v>
      </c>
      <c r="J68" s="17"/>
      <c r="K68" s="18"/>
    </row>
    <row r="69" spans="1:11" ht="15.5" thickTop="1" thickBot="1">
      <c r="A69" s="19" t="s">
        <v>81</v>
      </c>
      <c r="B69" s="19">
        <v>683377</v>
      </c>
      <c r="C69" s="19">
        <v>6</v>
      </c>
      <c r="D69" s="19">
        <v>60</v>
      </c>
      <c r="E69" s="15" t="s">
        <v>66</v>
      </c>
      <c r="F69" s="19" t="s">
        <v>103</v>
      </c>
      <c r="G69" s="16" t="s">
        <v>68</v>
      </c>
      <c r="H69" s="12">
        <v>3078</v>
      </c>
      <c r="I69" s="19">
        <v>850</v>
      </c>
      <c r="J69" s="71"/>
      <c r="K69" s="18"/>
    </row>
    <row r="70" spans="1:11" ht="15.5" thickTop="1" thickBot="1">
      <c r="A70" s="19" t="s">
        <v>81</v>
      </c>
      <c r="B70" s="19">
        <v>683377</v>
      </c>
      <c r="C70" s="19">
        <v>6</v>
      </c>
      <c r="D70" s="19">
        <v>60</v>
      </c>
      <c r="E70" s="15" t="s">
        <v>66</v>
      </c>
      <c r="F70" s="19" t="s">
        <v>103</v>
      </c>
      <c r="G70" s="16" t="s">
        <v>68</v>
      </c>
      <c r="H70" s="12">
        <v>2989</v>
      </c>
      <c r="I70" s="19">
        <v>900</v>
      </c>
      <c r="J70" s="71"/>
      <c r="K70" s="18"/>
    </row>
    <row r="71" spans="1:11" ht="15.5" thickTop="1" thickBot="1">
      <c r="A71" s="19" t="s">
        <v>81</v>
      </c>
      <c r="B71" s="19">
        <v>683377</v>
      </c>
      <c r="C71" s="19">
        <v>6</v>
      </c>
      <c r="D71" s="19">
        <v>60</v>
      </c>
      <c r="E71" s="15" t="s">
        <v>66</v>
      </c>
      <c r="F71" s="19" t="s">
        <v>103</v>
      </c>
      <c r="G71" s="16" t="s">
        <v>68</v>
      </c>
      <c r="H71" s="12">
        <v>2850</v>
      </c>
      <c r="I71" s="19">
        <v>950</v>
      </c>
      <c r="J71" s="71"/>
      <c r="K71" s="18"/>
    </row>
    <row r="72" spans="1:11" ht="15.5" thickTop="1" thickBot="1">
      <c r="A72" s="19" t="s">
        <v>81</v>
      </c>
      <c r="B72" s="19">
        <v>683377</v>
      </c>
      <c r="C72" s="19">
        <v>6</v>
      </c>
      <c r="D72" s="19">
        <v>60</v>
      </c>
      <c r="E72" s="15" t="s">
        <v>66</v>
      </c>
      <c r="F72" s="19" t="s">
        <v>103</v>
      </c>
      <c r="G72" s="16" t="s">
        <v>68</v>
      </c>
      <c r="H72" s="12">
        <v>2720</v>
      </c>
      <c r="I72" s="19">
        <v>1000</v>
      </c>
      <c r="J72" s="71"/>
      <c r="K72" s="18"/>
    </row>
    <row r="73" spans="1:11" ht="15.5" thickTop="1" thickBot="1">
      <c r="A73" s="19" t="s">
        <v>81</v>
      </c>
      <c r="B73" s="19">
        <v>683377</v>
      </c>
      <c r="C73" s="19">
        <v>6</v>
      </c>
      <c r="D73" s="19">
        <v>60</v>
      </c>
      <c r="E73" s="15" t="s">
        <v>66</v>
      </c>
      <c r="F73" s="19" t="s">
        <v>103</v>
      </c>
      <c r="G73" s="16" t="s">
        <v>68</v>
      </c>
      <c r="H73" s="12">
        <v>2929</v>
      </c>
      <c r="I73" s="19">
        <v>1050</v>
      </c>
      <c r="J73" s="71"/>
      <c r="K73" s="18"/>
    </row>
    <row r="74" spans="1:11" ht="15.5" thickTop="1" thickBot="1">
      <c r="A74" s="19" t="s">
        <v>81</v>
      </c>
      <c r="B74" s="19">
        <v>683377</v>
      </c>
      <c r="C74" s="19">
        <v>6</v>
      </c>
      <c r="D74" s="19">
        <v>60</v>
      </c>
      <c r="E74" s="15" t="s">
        <v>66</v>
      </c>
      <c r="F74" s="19" t="s">
        <v>103</v>
      </c>
      <c r="G74" s="16" t="s">
        <v>68</v>
      </c>
      <c r="H74" s="12">
        <v>3177</v>
      </c>
      <c r="I74" s="19">
        <v>1100</v>
      </c>
      <c r="J74" s="71"/>
      <c r="K74" s="18"/>
    </row>
    <row r="75" spans="1:11" ht="15.5" thickTop="1" thickBot="1">
      <c r="A75" s="19" t="s">
        <v>81</v>
      </c>
      <c r="B75" s="19">
        <v>683377</v>
      </c>
      <c r="C75" s="19">
        <v>6</v>
      </c>
      <c r="D75" s="19">
        <v>60</v>
      </c>
      <c r="E75" s="15" t="s">
        <v>66</v>
      </c>
      <c r="F75" s="19" t="s">
        <v>103</v>
      </c>
      <c r="G75" s="16" t="s">
        <v>68</v>
      </c>
      <c r="H75" s="12">
        <v>3038</v>
      </c>
      <c r="I75" s="19">
        <v>1150</v>
      </c>
      <c r="J75" s="71"/>
      <c r="K75" s="18"/>
    </row>
    <row r="76" spans="1:11" ht="15.5" thickTop="1" thickBot="1">
      <c r="A76" s="19" t="s">
        <v>81</v>
      </c>
      <c r="B76" s="19">
        <v>683377</v>
      </c>
      <c r="C76" s="19">
        <v>6</v>
      </c>
      <c r="D76" s="19">
        <v>60</v>
      </c>
      <c r="E76" s="15" t="s">
        <v>66</v>
      </c>
      <c r="F76" s="19" t="s">
        <v>103</v>
      </c>
      <c r="G76" s="16" t="s">
        <v>68</v>
      </c>
      <c r="H76" s="12">
        <v>2919</v>
      </c>
      <c r="I76" s="19">
        <v>1200</v>
      </c>
      <c r="J76" s="71"/>
      <c r="K76" s="18"/>
    </row>
    <row r="77" spans="1:11" ht="15.5" thickTop="1" thickBot="1">
      <c r="A77" s="19" t="s">
        <v>81</v>
      </c>
      <c r="B77" s="19">
        <v>683377</v>
      </c>
      <c r="C77" s="19">
        <v>6</v>
      </c>
      <c r="D77" s="19">
        <v>60</v>
      </c>
      <c r="E77" s="15" t="s">
        <v>66</v>
      </c>
      <c r="F77" s="19" t="s">
        <v>103</v>
      </c>
      <c r="G77" s="16" t="s">
        <v>68</v>
      </c>
      <c r="H77" s="12">
        <v>2760</v>
      </c>
      <c r="I77" s="19">
        <v>1250</v>
      </c>
      <c r="J77" s="71"/>
      <c r="K77" s="18"/>
    </row>
    <row r="78" spans="1:11" ht="15.5" thickTop="1" thickBot="1">
      <c r="A78" s="19" t="s">
        <v>81</v>
      </c>
      <c r="B78" s="19">
        <v>683377</v>
      </c>
      <c r="C78" s="19">
        <v>6</v>
      </c>
      <c r="D78" s="19">
        <v>60</v>
      </c>
      <c r="E78" s="15" t="s">
        <v>66</v>
      </c>
      <c r="F78" s="19" t="s">
        <v>103</v>
      </c>
      <c r="G78" s="16" t="s">
        <v>68</v>
      </c>
      <c r="H78" s="12">
        <v>2601</v>
      </c>
      <c r="I78" s="24">
        <v>1300</v>
      </c>
      <c r="J78" s="71"/>
      <c r="K78" s="18"/>
    </row>
    <row r="79" spans="1:11" ht="15.5" thickTop="1" thickBot="1">
      <c r="A79" s="19" t="s">
        <v>82</v>
      </c>
      <c r="B79" s="29">
        <v>797399</v>
      </c>
      <c r="C79" s="19">
        <v>6</v>
      </c>
      <c r="D79" s="19">
        <v>60</v>
      </c>
      <c r="E79" s="15" t="s">
        <v>66</v>
      </c>
      <c r="F79" s="19" t="s">
        <v>103</v>
      </c>
      <c r="G79" s="16" t="s">
        <v>68</v>
      </c>
      <c r="H79" s="29">
        <v>2820</v>
      </c>
      <c r="I79" s="33">
        <v>800</v>
      </c>
      <c r="J79" s="71"/>
      <c r="K79" s="18"/>
    </row>
    <row r="80" spans="1:11" ht="15.5" thickTop="1" thickBot="1">
      <c r="A80" s="19" t="s">
        <v>82</v>
      </c>
      <c r="B80" s="29">
        <v>797399</v>
      </c>
      <c r="C80" s="19">
        <v>6</v>
      </c>
      <c r="D80" s="19">
        <v>60</v>
      </c>
      <c r="E80" s="15" t="s">
        <v>66</v>
      </c>
      <c r="F80" s="19" t="s">
        <v>103</v>
      </c>
      <c r="G80" s="16" t="s">
        <v>68</v>
      </c>
      <c r="H80" s="29">
        <v>3078</v>
      </c>
      <c r="I80" s="19">
        <v>850</v>
      </c>
      <c r="J80" s="71"/>
      <c r="K80" s="18"/>
    </row>
    <row r="81" spans="1:11" ht="15.5" thickTop="1" thickBot="1">
      <c r="A81" s="19" t="s">
        <v>82</v>
      </c>
      <c r="B81" s="29">
        <v>797399</v>
      </c>
      <c r="C81" s="19">
        <v>6</v>
      </c>
      <c r="D81" s="19">
        <v>60</v>
      </c>
      <c r="E81" s="15" t="s">
        <v>66</v>
      </c>
      <c r="F81" s="19" t="s">
        <v>103</v>
      </c>
      <c r="G81" s="16" t="s">
        <v>68</v>
      </c>
      <c r="H81" s="29">
        <v>2899</v>
      </c>
      <c r="I81" s="19">
        <v>900</v>
      </c>
      <c r="J81" s="71"/>
      <c r="K81" s="18"/>
    </row>
    <row r="82" spans="1:11" ht="15.5" thickTop="1" thickBot="1">
      <c r="A82" s="19" t="s">
        <v>82</v>
      </c>
      <c r="B82" s="29">
        <v>797399</v>
      </c>
      <c r="C82" s="19">
        <v>6</v>
      </c>
      <c r="D82" s="19">
        <v>60</v>
      </c>
      <c r="E82" s="15" t="s">
        <v>66</v>
      </c>
      <c r="F82" s="19" t="s">
        <v>103</v>
      </c>
      <c r="G82" s="16" t="s">
        <v>68</v>
      </c>
      <c r="H82" s="29">
        <v>2800</v>
      </c>
      <c r="I82" s="19">
        <v>950</v>
      </c>
      <c r="J82" s="71"/>
      <c r="K82" s="18"/>
    </row>
    <row r="83" spans="1:11" ht="15.5" thickTop="1" thickBot="1">
      <c r="A83" s="19" t="s">
        <v>82</v>
      </c>
      <c r="B83" s="29">
        <v>797399</v>
      </c>
      <c r="C83" s="19">
        <v>6</v>
      </c>
      <c r="D83" s="19">
        <v>60</v>
      </c>
      <c r="E83" s="15" t="s">
        <v>66</v>
      </c>
      <c r="F83" s="19" t="s">
        <v>103</v>
      </c>
      <c r="G83" s="16" t="s">
        <v>68</v>
      </c>
      <c r="H83" s="29">
        <v>2671</v>
      </c>
      <c r="I83" s="19">
        <v>1000</v>
      </c>
      <c r="J83" s="71"/>
      <c r="K83" s="18"/>
    </row>
    <row r="84" spans="1:11" ht="15.5" thickTop="1" thickBot="1">
      <c r="A84" s="19" t="s">
        <v>82</v>
      </c>
      <c r="B84" s="29">
        <v>797399</v>
      </c>
      <c r="C84" s="19">
        <v>6</v>
      </c>
      <c r="D84" s="19">
        <v>60</v>
      </c>
      <c r="E84" s="15" t="s">
        <v>66</v>
      </c>
      <c r="F84" s="19" t="s">
        <v>103</v>
      </c>
      <c r="G84" s="16" t="s">
        <v>68</v>
      </c>
      <c r="H84" s="29">
        <v>2522</v>
      </c>
      <c r="I84" s="19">
        <v>1050</v>
      </c>
      <c r="J84" s="71"/>
      <c r="K84" s="18"/>
    </row>
    <row r="85" spans="1:11" ht="15.5" thickTop="1" thickBot="1">
      <c r="A85" s="19" t="s">
        <v>82</v>
      </c>
      <c r="B85" s="29">
        <v>797399</v>
      </c>
      <c r="C85" s="19">
        <v>6</v>
      </c>
      <c r="D85" s="19">
        <v>60</v>
      </c>
      <c r="E85" s="15" t="s">
        <v>66</v>
      </c>
      <c r="F85" s="19" t="s">
        <v>103</v>
      </c>
      <c r="G85" s="16" t="s">
        <v>68</v>
      </c>
      <c r="H85" s="29">
        <v>2830</v>
      </c>
      <c r="I85" s="19">
        <v>1100</v>
      </c>
      <c r="J85" s="71"/>
      <c r="K85" s="18"/>
    </row>
    <row r="86" spans="1:11" ht="15.5" thickTop="1" thickBot="1">
      <c r="A86" s="19" t="s">
        <v>82</v>
      </c>
      <c r="B86" s="29">
        <v>797399</v>
      </c>
      <c r="C86" s="19">
        <v>6</v>
      </c>
      <c r="D86" s="19">
        <v>60</v>
      </c>
      <c r="E86" s="15" t="s">
        <v>66</v>
      </c>
      <c r="F86" s="19" t="s">
        <v>103</v>
      </c>
      <c r="G86" s="16" t="s">
        <v>68</v>
      </c>
      <c r="H86" s="29">
        <v>2671</v>
      </c>
      <c r="I86" s="19">
        <v>1150</v>
      </c>
      <c r="J86" s="71"/>
      <c r="K86" s="18"/>
    </row>
    <row r="87" spans="1:11" ht="15.5" thickTop="1" thickBot="1">
      <c r="A87" s="19" t="s">
        <v>82</v>
      </c>
      <c r="B87" s="29">
        <v>797399</v>
      </c>
      <c r="C87" s="19">
        <v>6</v>
      </c>
      <c r="D87" s="19">
        <v>60</v>
      </c>
      <c r="E87" s="15" t="s">
        <v>66</v>
      </c>
      <c r="F87" s="19" t="s">
        <v>103</v>
      </c>
      <c r="G87" s="16" t="s">
        <v>68</v>
      </c>
      <c r="H87" s="29">
        <v>2512</v>
      </c>
      <c r="I87" s="19">
        <v>1200</v>
      </c>
      <c r="J87" s="71"/>
      <c r="K87" s="18"/>
    </row>
    <row r="88" spans="1:11" ht="15.5" thickTop="1" thickBot="1">
      <c r="A88" s="19" t="s">
        <v>82</v>
      </c>
      <c r="B88" s="29">
        <v>797399</v>
      </c>
      <c r="C88" s="19">
        <v>6</v>
      </c>
      <c r="D88" s="19">
        <v>60</v>
      </c>
      <c r="E88" s="15" t="s">
        <v>66</v>
      </c>
      <c r="F88" s="19" t="s">
        <v>103</v>
      </c>
      <c r="G88" s="16" t="s">
        <v>68</v>
      </c>
      <c r="H88" s="29">
        <v>2333</v>
      </c>
      <c r="I88" s="19">
        <v>1250</v>
      </c>
      <c r="J88" s="71"/>
      <c r="K88" s="18"/>
    </row>
    <row r="89" spans="1:11" ht="15.5" thickTop="1" thickBot="1">
      <c r="A89" s="19" t="s">
        <v>82</v>
      </c>
      <c r="B89" s="29">
        <v>797399</v>
      </c>
      <c r="C89" s="19">
        <v>6</v>
      </c>
      <c r="D89" s="19">
        <v>60</v>
      </c>
      <c r="E89" s="15" t="s">
        <v>66</v>
      </c>
      <c r="F89" s="19" t="s">
        <v>103</v>
      </c>
      <c r="G89" s="16" t="s">
        <v>68</v>
      </c>
      <c r="H89" s="29">
        <v>2532</v>
      </c>
      <c r="I89" s="24">
        <v>1300</v>
      </c>
      <c r="J89" s="71"/>
      <c r="K89" s="18"/>
    </row>
    <row r="90" spans="1:11" ht="15.5" thickTop="1" thickBot="1">
      <c r="A90" s="19" t="s">
        <v>83</v>
      </c>
      <c r="B90" s="19">
        <v>877411</v>
      </c>
      <c r="C90" s="19">
        <v>6</v>
      </c>
      <c r="D90" s="19">
        <v>60</v>
      </c>
      <c r="E90" s="15" t="s">
        <v>66</v>
      </c>
      <c r="F90" s="19" t="s">
        <v>103</v>
      </c>
      <c r="G90" s="16" t="s">
        <v>68</v>
      </c>
      <c r="H90" s="29">
        <v>2929</v>
      </c>
      <c r="I90" s="33">
        <v>800</v>
      </c>
      <c r="J90" s="17"/>
      <c r="K90" s="18"/>
    </row>
    <row r="91" spans="1:11" ht="15.5" thickTop="1" thickBot="1">
      <c r="A91" s="19" t="s">
        <v>83</v>
      </c>
      <c r="B91" s="19">
        <v>877411</v>
      </c>
      <c r="C91" s="19">
        <v>6</v>
      </c>
      <c r="D91" s="19">
        <v>60</v>
      </c>
      <c r="E91" s="15" t="s">
        <v>66</v>
      </c>
      <c r="F91" s="19" t="s">
        <v>103</v>
      </c>
      <c r="G91" s="16" t="s">
        <v>68</v>
      </c>
      <c r="H91" s="29">
        <v>2820</v>
      </c>
      <c r="I91" s="19">
        <v>850</v>
      </c>
      <c r="J91" s="30"/>
      <c r="K91" s="18"/>
    </row>
    <row r="92" spans="1:11" ht="15.5" thickTop="1" thickBot="1">
      <c r="A92" s="19" t="s">
        <v>83</v>
      </c>
      <c r="B92" s="19">
        <v>877411</v>
      </c>
      <c r="C92" s="19">
        <v>6</v>
      </c>
      <c r="D92" s="19">
        <v>60</v>
      </c>
      <c r="E92" s="15" t="s">
        <v>66</v>
      </c>
      <c r="F92" s="19" t="s">
        <v>103</v>
      </c>
      <c r="G92" s="16" t="s">
        <v>68</v>
      </c>
      <c r="H92" s="29">
        <v>3406</v>
      </c>
      <c r="I92" s="19">
        <v>900</v>
      </c>
      <c r="J92" s="30"/>
      <c r="K92" s="18"/>
    </row>
    <row r="93" spans="1:11" ht="15.5" thickTop="1" thickBot="1">
      <c r="A93" s="19" t="s">
        <v>83</v>
      </c>
      <c r="B93" s="19">
        <v>877411</v>
      </c>
      <c r="C93" s="19">
        <v>6</v>
      </c>
      <c r="D93" s="19">
        <v>60</v>
      </c>
      <c r="E93" s="15" t="s">
        <v>66</v>
      </c>
      <c r="F93" s="19" t="s">
        <v>103</v>
      </c>
      <c r="G93" s="16" t="s">
        <v>68</v>
      </c>
      <c r="H93" s="29">
        <v>3227</v>
      </c>
      <c r="I93" s="19">
        <v>950</v>
      </c>
      <c r="J93" s="30"/>
      <c r="K93" s="18"/>
    </row>
    <row r="94" spans="1:11" ht="15.5" thickTop="1" thickBot="1">
      <c r="A94" s="19" t="s">
        <v>83</v>
      </c>
      <c r="B94" s="19">
        <v>877411</v>
      </c>
      <c r="C94" s="19">
        <v>6</v>
      </c>
      <c r="D94" s="19">
        <v>60</v>
      </c>
      <c r="E94" s="15" t="s">
        <v>66</v>
      </c>
      <c r="F94" s="19" t="s">
        <v>103</v>
      </c>
      <c r="G94" s="16" t="s">
        <v>68</v>
      </c>
      <c r="H94" s="29">
        <v>3088</v>
      </c>
      <c r="I94" s="19">
        <v>1000</v>
      </c>
      <c r="J94" s="30"/>
      <c r="K94" s="18"/>
    </row>
    <row r="95" spans="1:11" ht="15.5" thickTop="1" thickBot="1">
      <c r="A95" s="19" t="s">
        <v>83</v>
      </c>
      <c r="B95" s="19">
        <v>877411</v>
      </c>
      <c r="C95" s="19">
        <v>6</v>
      </c>
      <c r="D95" s="19">
        <v>60</v>
      </c>
      <c r="E95" s="15" t="s">
        <v>66</v>
      </c>
      <c r="F95" s="19" t="s">
        <v>103</v>
      </c>
      <c r="G95" s="16" t="s">
        <v>68</v>
      </c>
      <c r="H95" s="29">
        <v>3306</v>
      </c>
      <c r="I95" s="19">
        <v>1050</v>
      </c>
      <c r="J95" s="30"/>
      <c r="K95" s="18"/>
    </row>
    <row r="96" spans="1:11" ht="15.5" thickTop="1" thickBot="1">
      <c r="A96" s="19" t="s">
        <v>83</v>
      </c>
      <c r="B96" s="19">
        <v>877411</v>
      </c>
      <c r="C96" s="19">
        <v>6</v>
      </c>
      <c r="D96" s="19">
        <v>60</v>
      </c>
      <c r="E96" s="15" t="s">
        <v>66</v>
      </c>
      <c r="F96" s="19" t="s">
        <v>103</v>
      </c>
      <c r="G96" s="16" t="s">
        <v>68</v>
      </c>
      <c r="H96" s="29">
        <v>3128</v>
      </c>
      <c r="I96" s="19">
        <v>1100</v>
      </c>
      <c r="J96" s="30"/>
      <c r="K96" s="18"/>
    </row>
    <row r="97" spans="1:11" ht="15.5" thickTop="1" thickBot="1">
      <c r="A97" s="19" t="s">
        <v>83</v>
      </c>
      <c r="B97" s="19">
        <v>877411</v>
      </c>
      <c r="C97" s="19">
        <v>6</v>
      </c>
      <c r="D97" s="19">
        <v>60</v>
      </c>
      <c r="E97" s="15" t="s">
        <v>66</v>
      </c>
      <c r="F97" s="19" t="s">
        <v>103</v>
      </c>
      <c r="G97" s="16" t="s">
        <v>68</v>
      </c>
      <c r="H97" s="29">
        <v>3376</v>
      </c>
      <c r="I97" s="19">
        <v>1150</v>
      </c>
      <c r="J97" s="30"/>
      <c r="K97" s="18"/>
    </row>
    <row r="98" spans="1:11" ht="15.5" thickTop="1" thickBot="1">
      <c r="A98" s="19" t="s">
        <v>83</v>
      </c>
      <c r="B98" s="19">
        <v>877411</v>
      </c>
      <c r="C98" s="19">
        <v>6</v>
      </c>
      <c r="D98" s="19">
        <v>60</v>
      </c>
      <c r="E98" s="15" t="s">
        <v>66</v>
      </c>
      <c r="F98" s="19" t="s">
        <v>103</v>
      </c>
      <c r="G98" s="16" t="s">
        <v>68</v>
      </c>
      <c r="H98" s="29">
        <v>3654</v>
      </c>
      <c r="I98" s="19">
        <v>1200</v>
      </c>
      <c r="J98" s="30"/>
      <c r="K98" s="18"/>
    </row>
    <row r="99" spans="1:11" ht="15.5" thickTop="1" thickBot="1">
      <c r="A99" s="19" t="s">
        <v>83</v>
      </c>
      <c r="B99" s="19">
        <v>877411</v>
      </c>
      <c r="C99" s="19">
        <v>6</v>
      </c>
      <c r="D99" s="19">
        <v>60</v>
      </c>
      <c r="E99" s="15" t="s">
        <v>66</v>
      </c>
      <c r="F99" s="19" t="s">
        <v>103</v>
      </c>
      <c r="G99" s="16" t="s">
        <v>68</v>
      </c>
      <c r="H99" s="29">
        <v>3535</v>
      </c>
      <c r="I99" s="19">
        <v>1250</v>
      </c>
      <c r="J99" s="30"/>
      <c r="K99" s="18"/>
    </row>
    <row r="100" spans="1:11" ht="15.5" thickTop="1" thickBot="1">
      <c r="A100" s="19" t="s">
        <v>83</v>
      </c>
      <c r="B100" s="19">
        <v>877411</v>
      </c>
      <c r="C100" s="19">
        <v>6</v>
      </c>
      <c r="D100" s="19">
        <v>60</v>
      </c>
      <c r="E100" s="15" t="s">
        <v>66</v>
      </c>
      <c r="F100" s="19" t="s">
        <v>103</v>
      </c>
      <c r="G100" s="16" t="s">
        <v>68</v>
      </c>
      <c r="H100" s="29">
        <v>3366</v>
      </c>
      <c r="I100" s="24">
        <v>1300</v>
      </c>
      <c r="J100" s="30"/>
      <c r="K100" s="18"/>
    </row>
    <row r="101" spans="1:11" ht="15.5" thickTop="1" thickBot="1">
      <c r="A101" s="24" t="s">
        <v>84</v>
      </c>
      <c r="B101" s="31">
        <v>979873</v>
      </c>
      <c r="C101" s="24">
        <v>6</v>
      </c>
      <c r="D101" s="24">
        <v>60</v>
      </c>
      <c r="E101" s="69" t="s">
        <v>66</v>
      </c>
      <c r="F101" s="24" t="s">
        <v>103</v>
      </c>
      <c r="G101" s="32" t="s">
        <v>77</v>
      </c>
      <c r="H101" s="29"/>
      <c r="I101" s="33">
        <v>800</v>
      </c>
      <c r="J101" s="30"/>
      <c r="K101" s="18"/>
    </row>
    <row r="102" spans="1:11" ht="15.5" thickTop="1" thickBot="1">
      <c r="A102" s="24" t="s">
        <v>84</v>
      </c>
      <c r="B102" s="31">
        <v>979873</v>
      </c>
      <c r="C102" s="24">
        <v>6</v>
      </c>
      <c r="D102" s="24">
        <v>60</v>
      </c>
      <c r="E102" s="69" t="s">
        <v>66</v>
      </c>
      <c r="F102" s="24" t="s">
        <v>103</v>
      </c>
      <c r="G102" s="32" t="s">
        <v>77</v>
      </c>
      <c r="H102" s="29"/>
      <c r="I102" s="19">
        <v>850</v>
      </c>
      <c r="J102" s="30"/>
      <c r="K102" s="18"/>
    </row>
    <row r="103" spans="1:11" ht="15.5" thickTop="1" thickBot="1">
      <c r="A103" s="24" t="s">
        <v>84</v>
      </c>
      <c r="B103" s="31">
        <v>979873</v>
      </c>
      <c r="C103" s="24">
        <v>6</v>
      </c>
      <c r="D103" s="24">
        <v>60</v>
      </c>
      <c r="E103" s="69" t="s">
        <v>66</v>
      </c>
      <c r="F103" s="24" t="s">
        <v>103</v>
      </c>
      <c r="G103" s="32" t="s">
        <v>77</v>
      </c>
      <c r="H103" s="29"/>
      <c r="I103" s="19">
        <v>900</v>
      </c>
      <c r="J103" s="30"/>
      <c r="K103" s="18"/>
    </row>
    <row r="104" spans="1:11" ht="15.5" thickTop="1" thickBot="1">
      <c r="A104" s="24" t="s">
        <v>84</v>
      </c>
      <c r="B104" s="31">
        <v>979873</v>
      </c>
      <c r="C104" s="24">
        <v>6</v>
      </c>
      <c r="D104" s="24">
        <v>60</v>
      </c>
      <c r="E104" s="69" t="s">
        <v>66</v>
      </c>
      <c r="F104" s="24" t="s">
        <v>103</v>
      </c>
      <c r="G104" s="32" t="s">
        <v>77</v>
      </c>
      <c r="H104" s="29"/>
      <c r="I104" s="19">
        <v>950</v>
      </c>
      <c r="J104" s="30"/>
      <c r="K104" s="18"/>
    </row>
    <row r="105" spans="1:11" ht="15.5" thickTop="1" thickBot="1">
      <c r="A105" s="24" t="s">
        <v>84</v>
      </c>
      <c r="B105" s="31">
        <v>979873</v>
      </c>
      <c r="C105" s="24">
        <v>6</v>
      </c>
      <c r="D105" s="24">
        <v>60</v>
      </c>
      <c r="E105" s="69" t="s">
        <v>66</v>
      </c>
      <c r="F105" s="24" t="s">
        <v>103</v>
      </c>
      <c r="G105" s="32" t="s">
        <v>77</v>
      </c>
      <c r="H105" s="29"/>
      <c r="I105" s="19">
        <v>1000</v>
      </c>
      <c r="J105" s="30"/>
      <c r="K105" s="18"/>
    </row>
    <row r="106" spans="1:11" ht="15.5" thickTop="1" thickBot="1">
      <c r="A106" s="24" t="s">
        <v>84</v>
      </c>
      <c r="B106" s="31">
        <v>979873</v>
      </c>
      <c r="C106" s="24">
        <v>6</v>
      </c>
      <c r="D106" s="24">
        <v>60</v>
      </c>
      <c r="E106" s="69" t="s">
        <v>66</v>
      </c>
      <c r="F106" s="24" t="s">
        <v>103</v>
      </c>
      <c r="G106" s="32" t="s">
        <v>77</v>
      </c>
      <c r="H106" s="29"/>
      <c r="I106" s="19">
        <v>1050</v>
      </c>
      <c r="J106" s="30"/>
      <c r="K106" s="18"/>
    </row>
    <row r="107" spans="1:11" ht="15.5" thickTop="1" thickBot="1">
      <c r="A107" s="24" t="s">
        <v>84</v>
      </c>
      <c r="B107" s="31">
        <v>979873</v>
      </c>
      <c r="C107" s="24">
        <v>6</v>
      </c>
      <c r="D107" s="24">
        <v>60</v>
      </c>
      <c r="E107" s="69" t="s">
        <v>66</v>
      </c>
      <c r="F107" s="24" t="s">
        <v>103</v>
      </c>
      <c r="G107" s="32" t="s">
        <v>77</v>
      </c>
      <c r="H107" s="29"/>
      <c r="I107" s="19">
        <v>1100</v>
      </c>
      <c r="J107" s="30"/>
      <c r="K107" s="18"/>
    </row>
    <row r="108" spans="1:11" ht="15.5" thickTop="1" thickBot="1">
      <c r="A108" s="24" t="s">
        <v>84</v>
      </c>
      <c r="B108" s="31">
        <v>979873</v>
      </c>
      <c r="C108" s="24">
        <v>6</v>
      </c>
      <c r="D108" s="24">
        <v>60</v>
      </c>
      <c r="E108" s="69" t="s">
        <v>66</v>
      </c>
      <c r="F108" s="24" t="s">
        <v>103</v>
      </c>
      <c r="G108" s="32" t="s">
        <v>77</v>
      </c>
      <c r="H108" s="29"/>
      <c r="I108" s="19">
        <v>1150</v>
      </c>
      <c r="J108" s="30"/>
      <c r="K108" s="18"/>
    </row>
    <row r="109" spans="1:11" ht="15.5" thickTop="1" thickBot="1">
      <c r="A109" s="24" t="s">
        <v>84</v>
      </c>
      <c r="B109" s="31">
        <v>979873</v>
      </c>
      <c r="C109" s="24">
        <v>6</v>
      </c>
      <c r="D109" s="24">
        <v>60</v>
      </c>
      <c r="E109" s="69" t="s">
        <v>66</v>
      </c>
      <c r="F109" s="24" t="s">
        <v>103</v>
      </c>
      <c r="G109" s="32" t="s">
        <v>77</v>
      </c>
      <c r="H109" s="29"/>
      <c r="I109" s="19">
        <v>1200</v>
      </c>
      <c r="J109" s="30"/>
      <c r="K109" s="18"/>
    </row>
    <row r="110" spans="1:11" ht="15.5" thickTop="1" thickBot="1">
      <c r="A110" s="24" t="s">
        <v>84</v>
      </c>
      <c r="B110" s="31">
        <v>979873</v>
      </c>
      <c r="C110" s="24">
        <v>6</v>
      </c>
      <c r="D110" s="24">
        <v>60</v>
      </c>
      <c r="E110" s="69" t="s">
        <v>66</v>
      </c>
      <c r="F110" s="24" t="s">
        <v>103</v>
      </c>
      <c r="G110" s="32" t="s">
        <v>77</v>
      </c>
      <c r="H110" s="29"/>
      <c r="I110" s="19">
        <v>1250</v>
      </c>
      <c r="J110" s="30"/>
      <c r="K110" s="18"/>
    </row>
    <row r="111" spans="1:11" ht="15.5" thickTop="1" thickBot="1">
      <c r="A111" s="24" t="s">
        <v>84</v>
      </c>
      <c r="B111" s="31">
        <v>979873</v>
      </c>
      <c r="C111" s="24">
        <v>6</v>
      </c>
      <c r="D111" s="24">
        <v>60</v>
      </c>
      <c r="E111" s="69" t="s">
        <v>66</v>
      </c>
      <c r="F111" s="24" t="s">
        <v>103</v>
      </c>
      <c r="G111" s="32" t="s">
        <v>77</v>
      </c>
      <c r="H111" s="24"/>
      <c r="I111" s="24">
        <v>1300</v>
      </c>
      <c r="J111" s="25"/>
      <c r="K111" s="26">
        <f>AVERAGE(H2:H111)</f>
        <v>2988.6565656565658</v>
      </c>
    </row>
    <row r="114" spans="1:12">
      <c r="A114" s="65" t="s">
        <v>101</v>
      </c>
      <c r="B114" s="65" t="s">
        <v>102</v>
      </c>
    </row>
    <row r="115" spans="1:12">
      <c r="A115" s="65" t="s">
        <v>99</v>
      </c>
      <c r="B115" t="s">
        <v>72</v>
      </c>
      <c r="C115" t="s">
        <v>73</v>
      </c>
      <c r="D115" t="s">
        <v>74</v>
      </c>
      <c r="E115" t="s">
        <v>75</v>
      </c>
      <c r="F115" t="s">
        <v>76</v>
      </c>
      <c r="G115" t="s">
        <v>80</v>
      </c>
      <c r="H115" t="s">
        <v>81</v>
      </c>
      <c r="I115" t="s">
        <v>82</v>
      </c>
      <c r="J115" t="s">
        <v>83</v>
      </c>
      <c r="K115" t="s">
        <v>84</v>
      </c>
      <c r="L115" t="s">
        <v>100</v>
      </c>
    </row>
    <row r="116" spans="1:12">
      <c r="A116" s="66">
        <v>800</v>
      </c>
      <c r="B116" s="67">
        <v>3575</v>
      </c>
      <c r="C116" s="67">
        <v>3157</v>
      </c>
      <c r="D116" s="67">
        <v>2840</v>
      </c>
      <c r="E116" s="67">
        <v>3207</v>
      </c>
      <c r="F116" s="67">
        <v>2909</v>
      </c>
      <c r="G116" s="67">
        <v>2105</v>
      </c>
      <c r="H116" s="67">
        <v>3217</v>
      </c>
      <c r="I116" s="67">
        <v>2820</v>
      </c>
      <c r="J116" s="67">
        <v>2929</v>
      </c>
      <c r="K116" s="67"/>
      <c r="L116" s="67">
        <v>2973.2222222222222</v>
      </c>
    </row>
    <row r="117" spans="1:12">
      <c r="A117" s="66">
        <v>850</v>
      </c>
      <c r="B117" s="67">
        <v>3406</v>
      </c>
      <c r="C117" s="67">
        <v>3058</v>
      </c>
      <c r="D117" s="67">
        <v>2671</v>
      </c>
      <c r="E117" s="67">
        <v>3038</v>
      </c>
      <c r="F117" s="67">
        <v>2770</v>
      </c>
      <c r="G117" s="67">
        <v>1986</v>
      </c>
      <c r="H117" s="67">
        <v>3078</v>
      </c>
      <c r="I117" s="67">
        <v>3078</v>
      </c>
      <c r="J117" s="67">
        <v>2820</v>
      </c>
      <c r="K117" s="67"/>
      <c r="L117" s="67">
        <v>2878.3333333333335</v>
      </c>
    </row>
    <row r="118" spans="1:12">
      <c r="A118" s="66">
        <v>900</v>
      </c>
      <c r="B118" s="67">
        <v>4061</v>
      </c>
      <c r="C118" s="67">
        <v>2919</v>
      </c>
      <c r="D118" s="67">
        <v>2542</v>
      </c>
      <c r="E118" s="67">
        <v>2929</v>
      </c>
      <c r="F118" s="67">
        <v>2651</v>
      </c>
      <c r="G118" s="67">
        <v>1847</v>
      </c>
      <c r="H118" s="67">
        <v>2989</v>
      </c>
      <c r="I118" s="67">
        <v>2899</v>
      </c>
      <c r="J118" s="67">
        <v>3406</v>
      </c>
      <c r="K118" s="67"/>
      <c r="L118" s="67">
        <v>2915.8888888888887</v>
      </c>
    </row>
    <row r="119" spans="1:12">
      <c r="A119" s="66">
        <v>950</v>
      </c>
      <c r="B119" s="67">
        <v>3942</v>
      </c>
      <c r="C119" s="67">
        <v>3167</v>
      </c>
      <c r="D119" s="67">
        <v>2442</v>
      </c>
      <c r="E119" s="67">
        <v>2790</v>
      </c>
      <c r="F119" s="67">
        <v>2949</v>
      </c>
      <c r="G119" s="67">
        <v>2065</v>
      </c>
      <c r="H119" s="67">
        <v>2850</v>
      </c>
      <c r="I119" s="67">
        <v>2800</v>
      </c>
      <c r="J119" s="67">
        <v>3227</v>
      </c>
      <c r="K119" s="67"/>
      <c r="L119" s="67">
        <v>2914.6666666666665</v>
      </c>
    </row>
    <row r="120" spans="1:12">
      <c r="A120" s="66">
        <v>1000</v>
      </c>
      <c r="B120" s="67">
        <v>3882</v>
      </c>
      <c r="C120" s="67">
        <v>3078</v>
      </c>
      <c r="D120" s="67">
        <v>2681</v>
      </c>
      <c r="E120" s="67">
        <v>3038</v>
      </c>
      <c r="F120" s="67">
        <v>2760</v>
      </c>
      <c r="G120" s="67">
        <v>1916</v>
      </c>
      <c r="H120" s="67">
        <v>2720</v>
      </c>
      <c r="I120" s="67">
        <v>2671</v>
      </c>
      <c r="J120" s="67">
        <v>3088</v>
      </c>
      <c r="K120" s="67"/>
      <c r="L120" s="67">
        <v>2870.4444444444443</v>
      </c>
    </row>
    <row r="121" spans="1:12">
      <c r="A121" s="66">
        <v>1050</v>
      </c>
      <c r="B121" s="67">
        <v>3753</v>
      </c>
      <c r="C121" s="67">
        <v>3376</v>
      </c>
      <c r="D121" s="67">
        <v>2999</v>
      </c>
      <c r="E121" s="67">
        <v>2889</v>
      </c>
      <c r="F121" s="67">
        <v>2641</v>
      </c>
      <c r="G121" s="67">
        <v>2115</v>
      </c>
      <c r="H121" s="67">
        <v>2929</v>
      </c>
      <c r="I121" s="67">
        <v>2522</v>
      </c>
      <c r="J121" s="67">
        <v>3306</v>
      </c>
      <c r="K121" s="67"/>
      <c r="L121" s="67">
        <v>2947.7777777777778</v>
      </c>
    </row>
    <row r="122" spans="1:12">
      <c r="A122" s="66">
        <v>1100</v>
      </c>
      <c r="B122" s="67">
        <v>3584</v>
      </c>
      <c r="C122" s="67">
        <v>3634</v>
      </c>
      <c r="D122" s="67">
        <v>3654</v>
      </c>
      <c r="E122" s="67">
        <v>2800</v>
      </c>
      <c r="F122" s="67">
        <v>2820</v>
      </c>
      <c r="G122" s="67">
        <v>2373</v>
      </c>
      <c r="H122" s="67">
        <v>3177</v>
      </c>
      <c r="I122" s="67">
        <v>2830</v>
      </c>
      <c r="J122" s="67">
        <v>3128</v>
      </c>
      <c r="K122" s="67"/>
      <c r="L122" s="67">
        <v>3111.1111111111113</v>
      </c>
    </row>
    <row r="123" spans="1:12">
      <c r="A123" s="66">
        <v>1150</v>
      </c>
      <c r="B123" s="67">
        <v>3435</v>
      </c>
      <c r="C123" s="67">
        <v>3535</v>
      </c>
      <c r="D123" s="67">
        <v>3919</v>
      </c>
      <c r="E123" s="67">
        <v>2711</v>
      </c>
      <c r="F123" s="67">
        <v>2691</v>
      </c>
      <c r="G123" s="67">
        <v>2234</v>
      </c>
      <c r="H123" s="67">
        <v>3038</v>
      </c>
      <c r="I123" s="67">
        <v>2671</v>
      </c>
      <c r="J123" s="67">
        <v>3376</v>
      </c>
      <c r="K123" s="67"/>
      <c r="L123" s="67">
        <v>3067.7777777777778</v>
      </c>
    </row>
    <row r="124" spans="1:12">
      <c r="A124" s="66">
        <v>1200</v>
      </c>
      <c r="B124" s="67">
        <v>3296</v>
      </c>
      <c r="C124" s="67">
        <v>3376</v>
      </c>
      <c r="D124" s="67">
        <v>3773</v>
      </c>
      <c r="E124" s="67">
        <v>2969</v>
      </c>
      <c r="F124" s="67">
        <v>3326</v>
      </c>
      <c r="G124" s="67">
        <v>3257</v>
      </c>
      <c r="H124" s="67">
        <v>2919</v>
      </c>
      <c r="I124" s="67">
        <v>2512</v>
      </c>
      <c r="J124" s="67">
        <v>3654</v>
      </c>
      <c r="K124" s="67"/>
      <c r="L124" s="67">
        <v>3231.3333333333335</v>
      </c>
    </row>
    <row r="125" spans="1:12">
      <c r="A125" s="66">
        <v>1250</v>
      </c>
      <c r="B125" s="67">
        <v>3217</v>
      </c>
      <c r="C125" s="67">
        <v>3227</v>
      </c>
      <c r="D125" s="67">
        <v>3535</v>
      </c>
      <c r="E125" s="67">
        <v>2830</v>
      </c>
      <c r="F125" s="67">
        <v>3187</v>
      </c>
      <c r="G125" s="67">
        <v>3138</v>
      </c>
      <c r="H125" s="67">
        <v>2760</v>
      </c>
      <c r="I125" s="67">
        <v>2333</v>
      </c>
      <c r="J125" s="67">
        <v>3535</v>
      </c>
      <c r="K125" s="67"/>
      <c r="L125" s="67">
        <v>3084.6666666666665</v>
      </c>
    </row>
    <row r="126" spans="1:12">
      <c r="A126" s="66">
        <v>1300</v>
      </c>
      <c r="B126" s="67">
        <v>3435</v>
      </c>
      <c r="C126" s="67">
        <v>3038</v>
      </c>
      <c r="D126" s="67">
        <v>3406</v>
      </c>
      <c r="E126" s="67">
        <v>2701</v>
      </c>
      <c r="F126" s="67">
        <v>1813</v>
      </c>
      <c r="G126" s="67">
        <v>3028</v>
      </c>
      <c r="H126" s="67">
        <v>2601</v>
      </c>
      <c r="I126" s="67">
        <v>2532</v>
      </c>
      <c r="J126" s="67">
        <v>3366</v>
      </c>
      <c r="K126" s="67"/>
      <c r="L126" s="67">
        <v>2880</v>
      </c>
    </row>
    <row r="127" spans="1:12">
      <c r="A127" s="66" t="s">
        <v>100</v>
      </c>
      <c r="B127" s="67">
        <v>3598.7272727272725</v>
      </c>
      <c r="C127" s="67">
        <v>3233.181818181818</v>
      </c>
      <c r="D127" s="67">
        <v>3132.909090909091</v>
      </c>
      <c r="E127" s="67">
        <v>2900.181818181818</v>
      </c>
      <c r="F127" s="67">
        <v>2774.2727272727275</v>
      </c>
      <c r="G127" s="67">
        <v>2369.4545454545455</v>
      </c>
      <c r="H127" s="67">
        <v>2934.3636363636365</v>
      </c>
      <c r="I127" s="67">
        <v>2697.090909090909</v>
      </c>
      <c r="J127" s="67">
        <v>3257.7272727272725</v>
      </c>
      <c r="K127" s="67"/>
      <c r="L127" s="67">
        <v>2988.6565656565658</v>
      </c>
    </row>
    <row r="128" spans="1:12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</sheetData>
  <phoneticPr fontId="10" type="noConversion"/>
  <conditionalFormatting sqref="G2:G111">
    <cfRule type="cellIs" dxfId="5" priority="1" operator="equal">
      <formula>"Terminado"</formula>
    </cfRule>
    <cfRule type="cellIs" dxfId="4" priority="2" operator="equal">
      <formula>"En Proceso"</formula>
    </cfRule>
    <cfRule type="cellIs" dxfId="3" priority="3" operator="equal">
      <formula>"Sin Iniciar"</formula>
    </cfRule>
  </conditionalFormatting>
  <dataValidations count="2">
    <dataValidation type="list" showInputMessage="1" showErrorMessage="1" sqref="G2:G12" xr:uid="{7B14AF02-2C47-4F82-A3CB-3DA9E90C54E2}">
      <formula1>INDIRECT("Tabla3[Status]")</formula1>
    </dataValidation>
    <dataValidation type="list" showInputMessage="1" showErrorMessage="1" sqref="G13:G111" xr:uid="{9259E828-9679-4D1C-B664-ADBD364305EF}">
      <formula1>$S$2:$S$23</formula1>
    </dataValidation>
  </dataValidations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5D11-4BA1-4010-8D08-061168AB6E01}">
  <dimension ref="A1:S111"/>
  <sheetViews>
    <sheetView tabSelected="1" topLeftCell="G90" workbookViewId="0">
      <selection activeCell="J122" sqref="J122"/>
    </sheetView>
  </sheetViews>
  <sheetFormatPr baseColWidth="10" defaultRowHeight="14.5"/>
  <cols>
    <col min="13" max="13" width="10.90625" customWidth="1"/>
  </cols>
  <sheetData>
    <row r="1" spans="1:19" ht="15" thickBot="1">
      <c r="A1" s="9" t="s">
        <v>58</v>
      </c>
      <c r="B1" s="8" t="s">
        <v>55</v>
      </c>
      <c r="C1" s="9" t="s">
        <v>56</v>
      </c>
      <c r="D1" s="9" t="s">
        <v>57</v>
      </c>
      <c r="E1" s="10" t="s">
        <v>104</v>
      </c>
      <c r="F1" s="10" t="s">
        <v>60</v>
      </c>
      <c r="G1" s="10" t="s">
        <v>61</v>
      </c>
      <c r="H1" s="11" t="s">
        <v>62</v>
      </c>
      <c r="I1" s="13" t="s">
        <v>63</v>
      </c>
      <c r="J1" s="14" t="s">
        <v>64</v>
      </c>
      <c r="K1" s="8" t="s">
        <v>65</v>
      </c>
      <c r="S1" s="12" t="s">
        <v>61</v>
      </c>
    </row>
    <row r="2" spans="1:19" ht="15.5" thickTop="1" thickBot="1">
      <c r="A2" s="19" t="s">
        <v>105</v>
      </c>
      <c r="B2">
        <v>101581</v>
      </c>
      <c r="C2" s="19">
        <v>6</v>
      </c>
      <c r="D2" s="19">
        <v>60</v>
      </c>
      <c r="E2" s="15" t="s">
        <v>66</v>
      </c>
      <c r="F2" s="15" t="s">
        <v>103</v>
      </c>
      <c r="G2" s="16" t="s">
        <v>68</v>
      </c>
      <c r="H2" s="70">
        <v>3584</v>
      </c>
      <c r="I2" s="33">
        <v>800</v>
      </c>
      <c r="J2" s="17"/>
      <c r="K2" s="18"/>
      <c r="S2" s="1" t="s">
        <v>77</v>
      </c>
    </row>
    <row r="3" spans="1:19" ht="15.5" thickTop="1" thickBot="1">
      <c r="A3" s="19" t="s">
        <v>105</v>
      </c>
      <c r="B3">
        <v>101581</v>
      </c>
      <c r="C3" s="19">
        <v>6</v>
      </c>
      <c r="D3" s="19">
        <v>60</v>
      </c>
      <c r="E3" s="15" t="s">
        <v>66</v>
      </c>
      <c r="F3" s="15" t="s">
        <v>103</v>
      </c>
      <c r="G3" s="16" t="s">
        <v>68</v>
      </c>
      <c r="H3" s="74">
        <v>3813</v>
      </c>
      <c r="I3" s="19">
        <v>850</v>
      </c>
      <c r="J3" s="17"/>
      <c r="K3" s="18"/>
      <c r="S3" s="53" t="s">
        <v>69</v>
      </c>
    </row>
    <row r="4" spans="1:19" ht="15.5" thickTop="1" thickBot="1">
      <c r="A4" s="19" t="s">
        <v>105</v>
      </c>
      <c r="B4">
        <v>101581</v>
      </c>
      <c r="C4" s="19">
        <v>6</v>
      </c>
      <c r="D4" s="19">
        <v>60</v>
      </c>
      <c r="E4" s="15" t="s">
        <v>66</v>
      </c>
      <c r="F4" s="15" t="s">
        <v>103</v>
      </c>
      <c r="G4" s="16" t="s">
        <v>68</v>
      </c>
      <c r="H4" s="74">
        <v>4121</v>
      </c>
      <c r="I4" s="19">
        <v>900</v>
      </c>
      <c r="J4" s="17"/>
      <c r="K4" s="18"/>
      <c r="S4" s="63" t="s">
        <v>68</v>
      </c>
    </row>
    <row r="5" spans="1:19" ht="15.5" thickTop="1" thickBot="1">
      <c r="A5" s="19" t="s">
        <v>105</v>
      </c>
      <c r="B5">
        <v>101581</v>
      </c>
      <c r="C5" s="19">
        <v>6</v>
      </c>
      <c r="D5" s="19">
        <v>60</v>
      </c>
      <c r="E5" s="15" t="s">
        <v>66</v>
      </c>
      <c r="F5" s="15" t="s">
        <v>103</v>
      </c>
      <c r="G5" s="16" t="s">
        <v>68</v>
      </c>
      <c r="H5" s="74">
        <v>3982</v>
      </c>
      <c r="I5" s="19">
        <v>950</v>
      </c>
      <c r="J5" s="17"/>
      <c r="K5" s="18"/>
    </row>
    <row r="6" spans="1:19" ht="15.5" thickTop="1" thickBot="1">
      <c r="A6" s="19" t="s">
        <v>105</v>
      </c>
      <c r="B6">
        <v>101581</v>
      </c>
      <c r="C6" s="19">
        <v>6</v>
      </c>
      <c r="D6" s="19">
        <v>60</v>
      </c>
      <c r="E6" s="15" t="s">
        <v>66</v>
      </c>
      <c r="F6" s="15" t="s">
        <v>103</v>
      </c>
      <c r="G6" s="16" t="s">
        <v>68</v>
      </c>
      <c r="H6" s="74">
        <v>3863</v>
      </c>
      <c r="I6" s="19">
        <v>1000</v>
      </c>
      <c r="J6" s="17"/>
      <c r="K6" s="18"/>
    </row>
    <row r="7" spans="1:19" ht="15.5" thickTop="1" thickBot="1">
      <c r="A7" s="19" t="s">
        <v>105</v>
      </c>
      <c r="B7">
        <v>101581</v>
      </c>
      <c r="C7" s="19">
        <v>6</v>
      </c>
      <c r="D7" s="19">
        <v>60</v>
      </c>
      <c r="E7" s="15" t="s">
        <v>66</v>
      </c>
      <c r="F7" s="15" t="s">
        <v>103</v>
      </c>
      <c r="G7" s="16" t="s">
        <v>68</v>
      </c>
      <c r="H7" s="74">
        <v>3783</v>
      </c>
      <c r="I7" s="19">
        <v>1050</v>
      </c>
      <c r="J7" s="17"/>
      <c r="K7" s="18"/>
    </row>
    <row r="8" spans="1:19" ht="15.5" thickTop="1" thickBot="1">
      <c r="A8" s="19" t="s">
        <v>105</v>
      </c>
      <c r="B8">
        <v>101581</v>
      </c>
      <c r="C8" s="19">
        <v>6</v>
      </c>
      <c r="D8" s="19">
        <v>60</v>
      </c>
      <c r="E8" s="15" t="s">
        <v>66</v>
      </c>
      <c r="F8" s="15" t="s">
        <v>103</v>
      </c>
      <c r="G8" s="16" t="s">
        <v>68</v>
      </c>
      <c r="H8" s="74">
        <v>4409</v>
      </c>
      <c r="I8" s="19">
        <v>1100</v>
      </c>
      <c r="J8" s="17"/>
      <c r="K8" s="18"/>
    </row>
    <row r="9" spans="1:19" ht="15.5" thickTop="1" thickBot="1">
      <c r="A9" s="19" t="s">
        <v>105</v>
      </c>
      <c r="B9">
        <v>101581</v>
      </c>
      <c r="C9" s="19">
        <v>6</v>
      </c>
      <c r="D9" s="19">
        <v>60</v>
      </c>
      <c r="E9" s="15" t="s">
        <v>66</v>
      </c>
      <c r="F9" s="15" t="s">
        <v>103</v>
      </c>
      <c r="G9" s="16" t="s">
        <v>68</v>
      </c>
      <c r="H9" s="74">
        <v>4240</v>
      </c>
      <c r="I9" s="19">
        <v>1150</v>
      </c>
      <c r="J9" s="17"/>
      <c r="K9" s="18"/>
      <c r="L9" s="20" t="s">
        <v>70</v>
      </c>
      <c r="M9" s="21">
        <f>SUM(J2:J100)</f>
        <v>0.93283564814814812</v>
      </c>
      <c r="N9" s="75" t="s">
        <v>91</v>
      </c>
    </row>
    <row r="10" spans="1:19" ht="15.5" thickTop="1" thickBot="1">
      <c r="A10" s="19" t="s">
        <v>105</v>
      </c>
      <c r="B10">
        <v>101581</v>
      </c>
      <c r="C10" s="19">
        <v>6</v>
      </c>
      <c r="D10" s="19">
        <v>60</v>
      </c>
      <c r="E10" s="15" t="s">
        <v>66</v>
      </c>
      <c r="F10" s="15" t="s">
        <v>103</v>
      </c>
      <c r="G10" s="16" t="s">
        <v>68</v>
      </c>
      <c r="H10" s="74">
        <v>4111</v>
      </c>
      <c r="I10" s="19">
        <v>1200</v>
      </c>
      <c r="J10" s="17"/>
      <c r="K10" s="18"/>
      <c r="L10" s="22" t="s">
        <v>71</v>
      </c>
      <c r="M10" s="23">
        <f>AVERAGE(H2:H100)</f>
        <v>3944.0113636363635</v>
      </c>
      <c r="N10" s="23">
        <f>MEDIAN(H2:H100)</f>
        <v>3892</v>
      </c>
    </row>
    <row r="11" spans="1:19" ht="15.5" thickTop="1" thickBot="1">
      <c r="A11" s="19" t="s">
        <v>105</v>
      </c>
      <c r="B11">
        <v>101581</v>
      </c>
      <c r="C11" s="19">
        <v>6</v>
      </c>
      <c r="D11" s="19">
        <v>60</v>
      </c>
      <c r="E11" s="15" t="s">
        <v>66</v>
      </c>
      <c r="F11" s="15" t="s">
        <v>103</v>
      </c>
      <c r="G11" s="16" t="s">
        <v>68</v>
      </c>
      <c r="H11" s="74">
        <v>4359</v>
      </c>
      <c r="I11" s="19">
        <v>1250</v>
      </c>
      <c r="J11" s="17"/>
      <c r="K11" s="18"/>
    </row>
    <row r="12" spans="1:19" ht="15.5" thickTop="1" thickBot="1">
      <c r="A12" s="19" t="s">
        <v>105</v>
      </c>
      <c r="B12">
        <v>101581</v>
      </c>
      <c r="C12" s="19">
        <v>6</v>
      </c>
      <c r="D12" s="19">
        <v>60</v>
      </c>
      <c r="E12" s="15" t="s">
        <v>66</v>
      </c>
      <c r="F12" s="15" t="s">
        <v>103</v>
      </c>
      <c r="G12" s="16" t="s">
        <v>68</v>
      </c>
      <c r="H12" s="74">
        <v>4220</v>
      </c>
      <c r="I12" s="24">
        <v>1300</v>
      </c>
      <c r="J12" s="17"/>
      <c r="K12" s="18"/>
    </row>
    <row r="13" spans="1:19" ht="15.5" thickTop="1" thickBot="1">
      <c r="A13" s="19" t="s">
        <v>106</v>
      </c>
      <c r="B13" s="19">
        <v>153817</v>
      </c>
      <c r="C13" s="19">
        <v>6</v>
      </c>
      <c r="D13" s="19">
        <v>60</v>
      </c>
      <c r="E13" s="15" t="s">
        <v>66</v>
      </c>
      <c r="F13" s="19" t="s">
        <v>103</v>
      </c>
      <c r="G13" s="16" t="s">
        <v>69</v>
      </c>
      <c r="H13" s="19"/>
      <c r="I13" s="33">
        <v>800</v>
      </c>
      <c r="J13" s="17">
        <v>0.38614583333333335</v>
      </c>
      <c r="K13" s="18"/>
    </row>
    <row r="14" spans="1:19" ht="15.5" thickTop="1" thickBot="1">
      <c r="A14" s="19" t="s">
        <v>106</v>
      </c>
      <c r="B14" s="19">
        <v>153817</v>
      </c>
      <c r="C14" s="19">
        <v>6</v>
      </c>
      <c r="D14" s="19">
        <v>60</v>
      </c>
      <c r="E14" s="15" t="s">
        <v>66</v>
      </c>
      <c r="F14" s="19" t="s">
        <v>103</v>
      </c>
      <c r="G14" s="16" t="s">
        <v>69</v>
      </c>
      <c r="H14" s="19"/>
      <c r="I14" s="19">
        <v>850</v>
      </c>
      <c r="J14" s="17"/>
      <c r="K14" s="18"/>
    </row>
    <row r="15" spans="1:19" ht="15.5" thickTop="1" thickBot="1">
      <c r="A15" s="19" t="s">
        <v>106</v>
      </c>
      <c r="B15" s="19">
        <v>153817</v>
      </c>
      <c r="C15" s="19">
        <v>6</v>
      </c>
      <c r="D15" s="19">
        <v>60</v>
      </c>
      <c r="E15" s="15" t="s">
        <v>66</v>
      </c>
      <c r="F15" s="19" t="s">
        <v>103</v>
      </c>
      <c r="G15" s="16" t="s">
        <v>69</v>
      </c>
      <c r="H15" s="19"/>
      <c r="I15" s="19">
        <v>900</v>
      </c>
      <c r="J15" s="17"/>
      <c r="K15" s="18"/>
    </row>
    <row r="16" spans="1:19" ht="15.5" thickTop="1" thickBot="1">
      <c r="A16" s="19" t="s">
        <v>106</v>
      </c>
      <c r="B16" s="19">
        <v>153817</v>
      </c>
      <c r="C16" s="19">
        <v>6</v>
      </c>
      <c r="D16" s="19">
        <v>60</v>
      </c>
      <c r="E16" s="15" t="s">
        <v>66</v>
      </c>
      <c r="F16" s="19" t="s">
        <v>103</v>
      </c>
      <c r="G16" s="16" t="s">
        <v>69</v>
      </c>
      <c r="H16" s="19"/>
      <c r="I16" s="19">
        <v>950</v>
      </c>
      <c r="J16" s="17"/>
      <c r="K16" s="18"/>
    </row>
    <row r="17" spans="1:11" ht="15.5" thickTop="1" thickBot="1">
      <c r="A17" s="19" t="s">
        <v>106</v>
      </c>
      <c r="B17" s="19">
        <v>153817</v>
      </c>
      <c r="C17" s="19">
        <v>6</v>
      </c>
      <c r="D17" s="19">
        <v>60</v>
      </c>
      <c r="E17" s="15" t="s">
        <v>66</v>
      </c>
      <c r="F17" s="19" t="s">
        <v>103</v>
      </c>
      <c r="G17" s="16" t="s">
        <v>69</v>
      </c>
      <c r="H17" s="19"/>
      <c r="I17" s="19">
        <v>1000</v>
      </c>
      <c r="J17" s="17"/>
      <c r="K17" s="18"/>
    </row>
    <row r="18" spans="1:11" ht="15.5" thickTop="1" thickBot="1">
      <c r="A18" s="19" t="s">
        <v>106</v>
      </c>
      <c r="B18" s="19">
        <v>153817</v>
      </c>
      <c r="C18" s="19">
        <v>6</v>
      </c>
      <c r="D18" s="19">
        <v>60</v>
      </c>
      <c r="E18" s="15" t="s">
        <v>66</v>
      </c>
      <c r="F18" s="19" t="s">
        <v>103</v>
      </c>
      <c r="G18" s="16" t="s">
        <v>69</v>
      </c>
      <c r="H18" s="19"/>
      <c r="I18" s="19">
        <v>1050</v>
      </c>
      <c r="J18" s="17"/>
      <c r="K18" s="18"/>
    </row>
    <row r="19" spans="1:11" ht="15.5" thickTop="1" thickBot="1">
      <c r="A19" s="19" t="s">
        <v>106</v>
      </c>
      <c r="B19" s="19">
        <v>153817</v>
      </c>
      <c r="C19" s="19">
        <v>6</v>
      </c>
      <c r="D19" s="19">
        <v>60</v>
      </c>
      <c r="E19" s="15" t="s">
        <v>66</v>
      </c>
      <c r="F19" s="19" t="s">
        <v>103</v>
      </c>
      <c r="G19" s="16" t="s">
        <v>69</v>
      </c>
      <c r="H19" s="19"/>
      <c r="I19" s="19">
        <v>1100</v>
      </c>
      <c r="J19" s="17"/>
      <c r="K19" s="18"/>
    </row>
    <row r="20" spans="1:11" ht="15.5" thickTop="1" thickBot="1">
      <c r="A20" s="19" t="s">
        <v>106</v>
      </c>
      <c r="B20" s="19">
        <v>153817</v>
      </c>
      <c r="C20" s="19">
        <v>6</v>
      </c>
      <c r="D20" s="19">
        <v>60</v>
      </c>
      <c r="E20" s="15" t="s">
        <v>66</v>
      </c>
      <c r="F20" s="19" t="s">
        <v>103</v>
      </c>
      <c r="G20" s="16" t="s">
        <v>69</v>
      </c>
      <c r="H20" s="19"/>
      <c r="I20" s="19">
        <v>1150</v>
      </c>
      <c r="J20" s="17"/>
      <c r="K20" s="18"/>
    </row>
    <row r="21" spans="1:11" ht="15.5" thickTop="1" thickBot="1">
      <c r="A21" s="19" t="s">
        <v>106</v>
      </c>
      <c r="B21" s="19">
        <v>153817</v>
      </c>
      <c r="C21" s="19">
        <v>6</v>
      </c>
      <c r="D21" s="19">
        <v>60</v>
      </c>
      <c r="E21" s="15" t="s">
        <v>66</v>
      </c>
      <c r="F21" s="19" t="s">
        <v>103</v>
      </c>
      <c r="G21" s="16" t="s">
        <v>69</v>
      </c>
      <c r="H21" s="19"/>
      <c r="I21" s="19">
        <v>1200</v>
      </c>
      <c r="J21" s="17"/>
      <c r="K21" s="18"/>
    </row>
    <row r="22" spans="1:11" ht="15.5" thickTop="1" thickBot="1">
      <c r="A22" s="19" t="s">
        <v>106</v>
      </c>
      <c r="B22" s="19">
        <v>153817</v>
      </c>
      <c r="C22" s="19">
        <v>6</v>
      </c>
      <c r="D22" s="19">
        <v>60</v>
      </c>
      <c r="E22" s="15" t="s">
        <v>66</v>
      </c>
      <c r="F22" s="19" t="s">
        <v>103</v>
      </c>
      <c r="G22" s="16" t="s">
        <v>69</v>
      </c>
      <c r="H22" s="19"/>
      <c r="I22" s="19">
        <v>1250</v>
      </c>
      <c r="J22" s="17"/>
      <c r="K22" s="18"/>
    </row>
    <row r="23" spans="1:11" ht="15.5" thickTop="1" thickBot="1">
      <c r="A23" s="19" t="s">
        <v>106</v>
      </c>
      <c r="B23" s="19">
        <v>153817</v>
      </c>
      <c r="C23" s="19">
        <v>6</v>
      </c>
      <c r="D23" s="19">
        <v>60</v>
      </c>
      <c r="E23" s="15" t="s">
        <v>66</v>
      </c>
      <c r="F23" s="19" t="s">
        <v>103</v>
      </c>
      <c r="G23" s="16" t="s">
        <v>69</v>
      </c>
      <c r="H23" s="19"/>
      <c r="I23" s="24">
        <v>1300</v>
      </c>
      <c r="J23" s="17"/>
      <c r="K23" s="18"/>
    </row>
    <row r="24" spans="1:11" ht="15.5" thickTop="1" thickBot="1">
      <c r="A24" s="19" t="s">
        <v>107</v>
      </c>
      <c r="B24" s="19">
        <v>248887</v>
      </c>
      <c r="C24" s="19">
        <v>6</v>
      </c>
      <c r="D24" s="19">
        <v>60</v>
      </c>
      <c r="E24" s="15" t="s">
        <v>66</v>
      </c>
      <c r="F24" s="19" t="s">
        <v>103</v>
      </c>
      <c r="G24" s="16" t="s">
        <v>68</v>
      </c>
      <c r="H24" s="19">
        <v>3674</v>
      </c>
      <c r="I24" s="33">
        <v>800</v>
      </c>
      <c r="J24" s="17"/>
      <c r="K24" s="18"/>
    </row>
    <row r="25" spans="1:11" ht="15.5" thickTop="1" thickBot="1">
      <c r="A25" s="19" t="s">
        <v>107</v>
      </c>
      <c r="B25" s="19">
        <v>248887</v>
      </c>
      <c r="C25" s="19">
        <v>6</v>
      </c>
      <c r="D25" s="19">
        <v>60</v>
      </c>
      <c r="E25" s="15" t="s">
        <v>66</v>
      </c>
      <c r="F25" s="19" t="s">
        <v>103</v>
      </c>
      <c r="G25" s="16" t="s">
        <v>68</v>
      </c>
      <c r="H25" s="19">
        <v>4280</v>
      </c>
      <c r="I25" s="19">
        <v>850</v>
      </c>
      <c r="J25" s="17"/>
      <c r="K25" s="18"/>
    </row>
    <row r="26" spans="1:11" ht="15.5" thickTop="1" thickBot="1">
      <c r="A26" s="19" t="s">
        <v>107</v>
      </c>
      <c r="B26" s="19">
        <v>248887</v>
      </c>
      <c r="C26" s="19">
        <v>6</v>
      </c>
      <c r="D26" s="19">
        <v>60</v>
      </c>
      <c r="E26" s="15" t="s">
        <v>66</v>
      </c>
      <c r="F26" s="19" t="s">
        <v>103</v>
      </c>
      <c r="G26" s="16" t="s">
        <v>68</v>
      </c>
      <c r="H26" s="19">
        <v>4111</v>
      </c>
      <c r="I26" s="19">
        <v>900</v>
      </c>
      <c r="J26" s="17"/>
      <c r="K26" s="18"/>
    </row>
    <row r="27" spans="1:11" ht="15.5" thickTop="1" thickBot="1">
      <c r="A27" s="19" t="s">
        <v>107</v>
      </c>
      <c r="B27" s="19">
        <v>248887</v>
      </c>
      <c r="C27" s="19">
        <v>6</v>
      </c>
      <c r="D27" s="19">
        <v>60</v>
      </c>
      <c r="E27" s="15" t="s">
        <v>66</v>
      </c>
      <c r="F27" s="19" t="s">
        <v>103</v>
      </c>
      <c r="G27" s="16" t="s">
        <v>68</v>
      </c>
      <c r="H27" s="19">
        <v>7379</v>
      </c>
      <c r="I27" s="19">
        <v>950</v>
      </c>
      <c r="J27" s="17"/>
      <c r="K27" s="18"/>
    </row>
    <row r="28" spans="1:11" ht="15.5" thickTop="1" thickBot="1">
      <c r="A28" s="19" t="s">
        <v>107</v>
      </c>
      <c r="B28" s="19">
        <v>248887</v>
      </c>
      <c r="C28" s="19">
        <v>6</v>
      </c>
      <c r="D28" s="19">
        <v>60</v>
      </c>
      <c r="E28" s="15" t="s">
        <v>66</v>
      </c>
      <c r="F28" s="19" t="s">
        <v>103</v>
      </c>
      <c r="G28" s="16" t="s">
        <v>68</v>
      </c>
      <c r="H28" s="19">
        <v>4270</v>
      </c>
      <c r="I28" s="19">
        <v>1000</v>
      </c>
      <c r="J28" s="17"/>
      <c r="K28" s="18"/>
    </row>
    <row r="29" spans="1:11" ht="15.5" thickTop="1" thickBot="1">
      <c r="A29" s="19" t="s">
        <v>107</v>
      </c>
      <c r="B29" s="19">
        <v>248887</v>
      </c>
      <c r="C29" s="19">
        <v>6</v>
      </c>
      <c r="D29" s="19">
        <v>60</v>
      </c>
      <c r="E29" s="15" t="s">
        <v>66</v>
      </c>
      <c r="F29" s="19" t="s">
        <v>103</v>
      </c>
      <c r="G29" s="16" t="s">
        <v>68</v>
      </c>
      <c r="H29" s="19">
        <v>4508</v>
      </c>
      <c r="I29" s="19">
        <v>1050</v>
      </c>
      <c r="J29" s="17"/>
      <c r="K29" s="18"/>
    </row>
    <row r="30" spans="1:11" ht="15.5" thickTop="1" thickBot="1">
      <c r="A30" s="19" t="s">
        <v>107</v>
      </c>
      <c r="B30" s="19">
        <v>248887</v>
      </c>
      <c r="C30" s="19">
        <v>6</v>
      </c>
      <c r="D30" s="19">
        <v>60</v>
      </c>
      <c r="E30" s="15" t="s">
        <v>66</v>
      </c>
      <c r="F30" s="19" t="s">
        <v>103</v>
      </c>
      <c r="G30" s="16" t="s">
        <v>68</v>
      </c>
      <c r="H30" s="19">
        <v>4319</v>
      </c>
      <c r="I30" s="19">
        <v>1100</v>
      </c>
      <c r="J30" s="17"/>
      <c r="K30" s="18"/>
    </row>
    <row r="31" spans="1:11" ht="15.5" thickTop="1" thickBot="1">
      <c r="A31" s="19" t="s">
        <v>107</v>
      </c>
      <c r="B31" s="19">
        <v>248887</v>
      </c>
      <c r="C31" s="19">
        <v>6</v>
      </c>
      <c r="D31" s="19">
        <v>60</v>
      </c>
      <c r="E31" s="15" t="s">
        <v>66</v>
      </c>
      <c r="F31" s="19" t="s">
        <v>103</v>
      </c>
      <c r="G31" s="16" t="s">
        <v>68</v>
      </c>
      <c r="H31" s="19">
        <v>4141</v>
      </c>
      <c r="I31" s="19">
        <v>1150</v>
      </c>
      <c r="J31" s="17"/>
      <c r="K31" s="18"/>
    </row>
    <row r="32" spans="1:11" ht="15.5" thickTop="1" thickBot="1">
      <c r="A32" s="19" t="s">
        <v>107</v>
      </c>
      <c r="B32" s="19">
        <v>248887</v>
      </c>
      <c r="C32" s="19">
        <v>6</v>
      </c>
      <c r="D32" s="19">
        <v>60</v>
      </c>
      <c r="E32" s="15" t="s">
        <v>66</v>
      </c>
      <c r="F32" s="19" t="s">
        <v>103</v>
      </c>
      <c r="G32" s="16" t="s">
        <v>68</v>
      </c>
      <c r="H32" s="19">
        <v>4002</v>
      </c>
      <c r="I32" s="19">
        <v>1200</v>
      </c>
      <c r="J32" s="17"/>
      <c r="K32" s="18"/>
    </row>
    <row r="33" spans="1:11" ht="15.5" thickTop="1" thickBot="1">
      <c r="A33" s="19" t="s">
        <v>107</v>
      </c>
      <c r="B33" s="19">
        <v>248887</v>
      </c>
      <c r="C33" s="19">
        <v>6</v>
      </c>
      <c r="D33" s="19">
        <v>60</v>
      </c>
      <c r="E33" s="15" t="s">
        <v>66</v>
      </c>
      <c r="F33" s="19" t="s">
        <v>103</v>
      </c>
      <c r="G33" s="16" t="s">
        <v>68</v>
      </c>
      <c r="H33" s="19">
        <v>3843</v>
      </c>
      <c r="I33" s="19">
        <v>1250</v>
      </c>
      <c r="J33" s="17"/>
      <c r="K33" s="18"/>
    </row>
    <row r="34" spans="1:11" ht="15.5" thickTop="1" thickBot="1">
      <c r="A34" s="19" t="s">
        <v>107</v>
      </c>
      <c r="B34" s="19">
        <v>248887</v>
      </c>
      <c r="C34" s="19">
        <v>6</v>
      </c>
      <c r="D34" s="19">
        <v>60</v>
      </c>
      <c r="E34" s="15" t="s">
        <v>66</v>
      </c>
      <c r="F34" s="19" t="s">
        <v>103</v>
      </c>
      <c r="G34" s="16" t="s">
        <v>68</v>
      </c>
      <c r="H34" s="19">
        <v>3674</v>
      </c>
      <c r="I34" s="24">
        <v>1300</v>
      </c>
      <c r="J34" s="17"/>
      <c r="K34" s="18"/>
    </row>
    <row r="35" spans="1:11" ht="15.5" thickTop="1" thickBot="1">
      <c r="A35" s="19" t="s">
        <v>108</v>
      </c>
      <c r="B35" s="19">
        <v>320143</v>
      </c>
      <c r="C35" s="19">
        <v>6</v>
      </c>
      <c r="D35" s="19">
        <v>60</v>
      </c>
      <c r="E35" s="15" t="s">
        <v>66</v>
      </c>
      <c r="F35" s="19" t="s">
        <v>103</v>
      </c>
      <c r="G35" s="16" t="s">
        <v>68</v>
      </c>
      <c r="H35" s="19">
        <v>3644</v>
      </c>
      <c r="I35" s="33">
        <v>800</v>
      </c>
      <c r="J35" s="17"/>
      <c r="K35" s="18"/>
    </row>
    <row r="36" spans="1:11" ht="15.5" thickTop="1" thickBot="1">
      <c r="A36" s="19" t="s">
        <v>108</v>
      </c>
      <c r="B36" s="19">
        <v>320143</v>
      </c>
      <c r="C36" s="19">
        <v>6</v>
      </c>
      <c r="D36" s="19">
        <v>60</v>
      </c>
      <c r="E36" s="15" t="s">
        <v>66</v>
      </c>
      <c r="F36" s="19" t="s">
        <v>103</v>
      </c>
      <c r="G36" s="16" t="s">
        <v>68</v>
      </c>
      <c r="H36" s="19">
        <v>3872</v>
      </c>
      <c r="I36" s="19">
        <v>850</v>
      </c>
      <c r="J36" s="17"/>
      <c r="K36" s="18"/>
    </row>
    <row r="37" spans="1:11" ht="15.5" thickTop="1" thickBot="1">
      <c r="A37" s="19" t="s">
        <v>108</v>
      </c>
      <c r="B37" s="19">
        <v>320143</v>
      </c>
      <c r="C37" s="19">
        <v>6</v>
      </c>
      <c r="D37" s="19">
        <v>60</v>
      </c>
      <c r="E37" s="15" t="s">
        <v>66</v>
      </c>
      <c r="F37" s="19" t="s">
        <v>103</v>
      </c>
      <c r="G37" s="16" t="s">
        <v>68</v>
      </c>
      <c r="H37" s="19">
        <v>3714</v>
      </c>
      <c r="I37" s="19">
        <v>900</v>
      </c>
      <c r="J37" s="17"/>
      <c r="K37" s="18"/>
    </row>
    <row r="38" spans="1:11" ht="15.5" thickTop="1" thickBot="1">
      <c r="A38" s="19" t="s">
        <v>108</v>
      </c>
      <c r="B38" s="19">
        <v>320143</v>
      </c>
      <c r="C38" s="19">
        <v>6</v>
      </c>
      <c r="D38" s="19">
        <v>60</v>
      </c>
      <c r="E38" s="15" t="s">
        <v>66</v>
      </c>
      <c r="F38" s="19" t="s">
        <v>103</v>
      </c>
      <c r="G38" s="16" t="s">
        <v>68</v>
      </c>
      <c r="H38" s="19">
        <v>4011</v>
      </c>
      <c r="I38" s="19">
        <v>950</v>
      </c>
      <c r="J38" s="17"/>
      <c r="K38" s="18"/>
    </row>
    <row r="39" spans="1:11" ht="15.5" thickTop="1" thickBot="1">
      <c r="A39" s="19" t="s">
        <v>108</v>
      </c>
      <c r="B39" s="19">
        <v>320143</v>
      </c>
      <c r="C39" s="19">
        <v>6</v>
      </c>
      <c r="D39" s="19">
        <v>60</v>
      </c>
      <c r="E39" s="15" t="s">
        <v>66</v>
      </c>
      <c r="F39" s="19" t="s">
        <v>103</v>
      </c>
      <c r="G39" s="16" t="s">
        <v>68</v>
      </c>
      <c r="H39" s="19">
        <v>3853</v>
      </c>
      <c r="I39" s="19">
        <v>1000</v>
      </c>
      <c r="J39" s="17"/>
      <c r="K39" s="18"/>
    </row>
    <row r="40" spans="1:11" ht="15.5" thickTop="1" thickBot="1">
      <c r="A40" s="19" t="s">
        <v>108</v>
      </c>
      <c r="B40" s="19">
        <v>320143</v>
      </c>
      <c r="C40" s="19">
        <v>6</v>
      </c>
      <c r="D40" s="19">
        <v>60</v>
      </c>
      <c r="E40" s="15" t="s">
        <v>66</v>
      </c>
      <c r="F40" s="19" t="s">
        <v>103</v>
      </c>
      <c r="G40" s="16" t="s">
        <v>68</v>
      </c>
      <c r="H40" s="19">
        <v>3723</v>
      </c>
      <c r="I40" s="19">
        <v>1050</v>
      </c>
      <c r="J40" s="17"/>
      <c r="K40" s="18"/>
    </row>
    <row r="41" spans="1:11" ht="15.5" thickTop="1" thickBot="1">
      <c r="A41" s="19" t="s">
        <v>108</v>
      </c>
      <c r="B41" s="19">
        <v>320143</v>
      </c>
      <c r="C41" s="19">
        <v>6</v>
      </c>
      <c r="D41" s="19">
        <v>60</v>
      </c>
      <c r="E41" s="15" t="s">
        <v>66</v>
      </c>
      <c r="F41" s="19" t="s">
        <v>103</v>
      </c>
      <c r="G41" s="16" t="s">
        <v>68</v>
      </c>
      <c r="H41" s="19">
        <v>3565</v>
      </c>
      <c r="I41" s="19">
        <v>1100</v>
      </c>
      <c r="J41" s="17"/>
      <c r="K41" s="18"/>
    </row>
    <row r="42" spans="1:11" ht="15.5" thickTop="1" thickBot="1">
      <c r="A42" s="19" t="s">
        <v>108</v>
      </c>
      <c r="B42" s="19">
        <v>320143</v>
      </c>
      <c r="C42" s="19">
        <v>6</v>
      </c>
      <c r="D42" s="19">
        <v>60</v>
      </c>
      <c r="E42" s="15" t="s">
        <v>66</v>
      </c>
      <c r="F42" s="19" t="s">
        <v>103</v>
      </c>
      <c r="G42" s="16" t="s">
        <v>68</v>
      </c>
      <c r="H42" s="19">
        <v>3455</v>
      </c>
      <c r="I42" s="19">
        <v>1150</v>
      </c>
      <c r="J42" s="17"/>
      <c r="K42" s="18"/>
    </row>
    <row r="43" spans="1:11" ht="15.5" thickTop="1" thickBot="1">
      <c r="A43" s="19" t="s">
        <v>108</v>
      </c>
      <c r="B43" s="19">
        <v>320143</v>
      </c>
      <c r="C43" s="19">
        <v>6</v>
      </c>
      <c r="D43" s="19">
        <v>60</v>
      </c>
      <c r="E43" s="15" t="s">
        <v>66</v>
      </c>
      <c r="F43" s="19" t="s">
        <v>103</v>
      </c>
      <c r="G43" s="16" t="s">
        <v>68</v>
      </c>
      <c r="H43" s="19">
        <v>3346</v>
      </c>
      <c r="I43" s="19">
        <v>1200</v>
      </c>
      <c r="J43" s="17"/>
      <c r="K43" s="18"/>
    </row>
    <row r="44" spans="1:11" ht="15.5" thickTop="1" thickBot="1">
      <c r="A44" s="19" t="s">
        <v>108</v>
      </c>
      <c r="B44" s="19">
        <v>320143</v>
      </c>
      <c r="C44" s="19">
        <v>6</v>
      </c>
      <c r="D44" s="19">
        <v>60</v>
      </c>
      <c r="E44" s="15" t="s">
        <v>66</v>
      </c>
      <c r="F44" s="19" t="s">
        <v>103</v>
      </c>
      <c r="G44" s="16" t="s">
        <v>68</v>
      </c>
      <c r="H44" s="19">
        <v>3207</v>
      </c>
      <c r="I44" s="19">
        <v>1250</v>
      </c>
      <c r="J44" s="17"/>
      <c r="K44" s="18"/>
    </row>
    <row r="45" spans="1:11" ht="15.5" thickTop="1" thickBot="1">
      <c r="A45" s="19" t="s">
        <v>108</v>
      </c>
      <c r="B45" s="19">
        <v>320143</v>
      </c>
      <c r="C45" s="19">
        <v>6</v>
      </c>
      <c r="D45" s="19">
        <v>60</v>
      </c>
      <c r="E45" s="15" t="s">
        <v>66</v>
      </c>
      <c r="F45" s="19" t="s">
        <v>103</v>
      </c>
      <c r="G45" s="16" t="s">
        <v>68</v>
      </c>
      <c r="H45" s="19">
        <v>3445</v>
      </c>
      <c r="I45" s="24">
        <v>1300</v>
      </c>
      <c r="J45" s="17"/>
      <c r="K45" s="18"/>
    </row>
    <row r="46" spans="1:11" ht="15.5" thickTop="1" thickBot="1">
      <c r="A46" s="19" t="s">
        <v>109</v>
      </c>
      <c r="B46" s="19">
        <v>403219</v>
      </c>
      <c r="C46" s="19">
        <v>6</v>
      </c>
      <c r="D46" s="19">
        <v>60</v>
      </c>
      <c r="E46" s="15" t="s">
        <v>66</v>
      </c>
      <c r="F46" s="19" t="s">
        <v>103</v>
      </c>
      <c r="G46" s="16" t="s">
        <v>68</v>
      </c>
      <c r="H46" s="19">
        <v>3624</v>
      </c>
      <c r="I46" s="33">
        <v>800</v>
      </c>
      <c r="J46" s="17">
        <v>0.54668981481481482</v>
      </c>
      <c r="K46" s="18"/>
    </row>
    <row r="47" spans="1:11" ht="15.5" thickTop="1" thickBot="1">
      <c r="A47" s="19" t="s">
        <v>109</v>
      </c>
      <c r="B47" s="19">
        <v>403219</v>
      </c>
      <c r="C47" s="19">
        <v>6</v>
      </c>
      <c r="D47" s="19">
        <v>60</v>
      </c>
      <c r="E47" s="15" t="s">
        <v>66</v>
      </c>
      <c r="F47" s="19" t="s">
        <v>103</v>
      </c>
      <c r="G47" s="16" t="s">
        <v>68</v>
      </c>
      <c r="H47" s="19">
        <v>3902</v>
      </c>
      <c r="I47" s="19">
        <v>850</v>
      </c>
      <c r="J47" s="17"/>
      <c r="K47" s="18"/>
    </row>
    <row r="48" spans="1:11" ht="15.5" thickTop="1" thickBot="1">
      <c r="A48" s="19" t="s">
        <v>109</v>
      </c>
      <c r="B48" s="19">
        <v>403219</v>
      </c>
      <c r="C48" s="19">
        <v>6</v>
      </c>
      <c r="D48" s="19">
        <v>60</v>
      </c>
      <c r="E48" s="15" t="s">
        <v>66</v>
      </c>
      <c r="F48" s="19" t="s">
        <v>103</v>
      </c>
      <c r="G48" s="16" t="s">
        <v>68</v>
      </c>
      <c r="H48" s="19">
        <v>4091</v>
      </c>
      <c r="I48" s="19">
        <v>900</v>
      </c>
      <c r="J48" s="17"/>
      <c r="K48" s="18"/>
    </row>
    <row r="49" spans="1:11" ht="15.5" thickTop="1" thickBot="1">
      <c r="A49" s="19" t="s">
        <v>109</v>
      </c>
      <c r="B49" s="19">
        <v>403219</v>
      </c>
      <c r="C49" s="19">
        <v>6</v>
      </c>
      <c r="D49" s="19">
        <v>60</v>
      </c>
      <c r="E49" s="15" t="s">
        <v>66</v>
      </c>
      <c r="F49" s="19" t="s">
        <v>103</v>
      </c>
      <c r="G49" s="16" t="s">
        <v>68</v>
      </c>
      <c r="H49" s="19">
        <v>3932</v>
      </c>
      <c r="I49" s="19">
        <v>950</v>
      </c>
      <c r="J49" s="17"/>
      <c r="K49" s="18"/>
    </row>
    <row r="50" spans="1:11" ht="15.5" thickTop="1" thickBot="1">
      <c r="A50" s="19" t="s">
        <v>109</v>
      </c>
      <c r="B50" s="19">
        <v>403219</v>
      </c>
      <c r="C50" s="19">
        <v>6</v>
      </c>
      <c r="D50" s="19">
        <v>60</v>
      </c>
      <c r="E50" s="15" t="s">
        <v>66</v>
      </c>
      <c r="F50" s="19" t="s">
        <v>103</v>
      </c>
      <c r="G50" s="16" t="s">
        <v>68</v>
      </c>
      <c r="H50" s="19">
        <v>4558</v>
      </c>
      <c r="I50" s="19">
        <v>1000</v>
      </c>
      <c r="J50" s="17"/>
      <c r="K50" s="18"/>
    </row>
    <row r="51" spans="1:11" ht="15.5" thickTop="1" thickBot="1">
      <c r="A51" s="19" t="s">
        <v>109</v>
      </c>
      <c r="B51" s="19">
        <v>403219</v>
      </c>
      <c r="C51" s="19">
        <v>6</v>
      </c>
      <c r="D51" s="19">
        <v>60</v>
      </c>
      <c r="E51" s="15" t="s">
        <v>66</v>
      </c>
      <c r="F51" s="19" t="s">
        <v>103</v>
      </c>
      <c r="G51" s="16" t="s">
        <v>68</v>
      </c>
      <c r="H51" s="19">
        <v>4438</v>
      </c>
      <c r="I51" s="19">
        <v>1050</v>
      </c>
      <c r="J51" s="17"/>
      <c r="K51" s="18"/>
    </row>
    <row r="52" spans="1:11" ht="15.5" thickTop="1" thickBot="1">
      <c r="A52" s="19" t="s">
        <v>109</v>
      </c>
      <c r="B52" s="19">
        <v>403219</v>
      </c>
      <c r="C52" s="19">
        <v>6</v>
      </c>
      <c r="D52" s="19">
        <v>60</v>
      </c>
      <c r="E52" s="15" t="s">
        <v>66</v>
      </c>
      <c r="F52" s="19" t="s">
        <v>103</v>
      </c>
      <c r="G52" s="16" t="s">
        <v>68</v>
      </c>
      <c r="H52" s="19">
        <v>4220</v>
      </c>
      <c r="I52" s="19">
        <v>1100</v>
      </c>
      <c r="J52" s="17"/>
      <c r="K52" s="18"/>
    </row>
    <row r="53" spans="1:11" ht="15.5" thickTop="1" thickBot="1">
      <c r="A53" s="19" t="s">
        <v>109</v>
      </c>
      <c r="B53" s="19">
        <v>403219</v>
      </c>
      <c r="C53" s="19">
        <v>6</v>
      </c>
      <c r="D53" s="19">
        <v>60</v>
      </c>
      <c r="E53" s="15" t="s">
        <v>66</v>
      </c>
      <c r="F53" s="19" t="s">
        <v>103</v>
      </c>
      <c r="G53" s="16" t="s">
        <v>68</v>
      </c>
      <c r="H53" s="19">
        <v>4141</v>
      </c>
      <c r="I53" s="19">
        <v>1150</v>
      </c>
      <c r="J53" s="17"/>
      <c r="K53" s="18"/>
    </row>
    <row r="54" spans="1:11" ht="15.5" thickTop="1" thickBot="1">
      <c r="A54" s="19" t="s">
        <v>109</v>
      </c>
      <c r="B54" s="19">
        <v>403219</v>
      </c>
      <c r="C54" s="19">
        <v>6</v>
      </c>
      <c r="D54" s="19">
        <v>60</v>
      </c>
      <c r="E54" s="15" t="s">
        <v>66</v>
      </c>
      <c r="F54" s="19" t="s">
        <v>103</v>
      </c>
      <c r="G54" s="16" t="s">
        <v>68</v>
      </c>
      <c r="H54" s="19">
        <v>3932</v>
      </c>
      <c r="I54" s="19">
        <v>1200</v>
      </c>
      <c r="J54" s="17"/>
      <c r="K54" s="18"/>
    </row>
    <row r="55" spans="1:11" ht="15.5" thickTop="1" thickBot="1">
      <c r="A55" s="19" t="s">
        <v>109</v>
      </c>
      <c r="B55" s="19">
        <v>403219</v>
      </c>
      <c r="C55" s="19">
        <v>6</v>
      </c>
      <c r="D55" s="19">
        <v>60</v>
      </c>
      <c r="E55" s="15" t="s">
        <v>66</v>
      </c>
      <c r="F55" s="19" t="s">
        <v>103</v>
      </c>
      <c r="G55" s="16" t="s">
        <v>68</v>
      </c>
      <c r="H55" s="19">
        <v>3853</v>
      </c>
      <c r="I55" s="19">
        <v>1250</v>
      </c>
      <c r="J55" s="17"/>
      <c r="K55" s="18"/>
    </row>
    <row r="56" spans="1:11" ht="15.5" thickTop="1" thickBot="1">
      <c r="A56" s="19" t="s">
        <v>109</v>
      </c>
      <c r="B56" s="19">
        <v>403219</v>
      </c>
      <c r="C56" s="19">
        <v>6</v>
      </c>
      <c r="D56" s="19">
        <v>60</v>
      </c>
      <c r="E56" s="15" t="s">
        <v>66</v>
      </c>
      <c r="F56" s="19" t="s">
        <v>103</v>
      </c>
      <c r="G56" s="16" t="s">
        <v>68</v>
      </c>
      <c r="H56" s="19">
        <v>3704</v>
      </c>
      <c r="I56" s="24">
        <v>1300</v>
      </c>
      <c r="J56" s="17"/>
      <c r="K56" s="18"/>
    </row>
    <row r="57" spans="1:11" ht="15.5" thickTop="1" thickBot="1">
      <c r="A57" s="19" t="s">
        <v>110</v>
      </c>
      <c r="B57" s="19">
        <v>530797</v>
      </c>
      <c r="C57" s="19">
        <v>6</v>
      </c>
      <c r="D57" s="19">
        <v>60</v>
      </c>
      <c r="E57" s="15" t="s">
        <v>66</v>
      </c>
      <c r="F57" s="19" t="s">
        <v>103</v>
      </c>
      <c r="G57" s="16" t="s">
        <v>68</v>
      </c>
      <c r="H57" s="19">
        <v>4379</v>
      </c>
      <c r="I57" s="33">
        <v>800</v>
      </c>
      <c r="J57" s="17"/>
      <c r="K57" s="18"/>
    </row>
    <row r="58" spans="1:11" ht="15.5" thickTop="1" thickBot="1">
      <c r="A58" s="19" t="s">
        <v>110</v>
      </c>
      <c r="B58" s="19">
        <v>530797</v>
      </c>
      <c r="C58" s="19">
        <v>6</v>
      </c>
      <c r="D58" s="19">
        <v>60</v>
      </c>
      <c r="E58" s="15" t="s">
        <v>66</v>
      </c>
      <c r="F58" s="19" t="s">
        <v>103</v>
      </c>
      <c r="G58" s="16" t="s">
        <v>68</v>
      </c>
      <c r="H58" s="33">
        <v>4270</v>
      </c>
      <c r="I58" s="19">
        <v>850</v>
      </c>
      <c r="J58" s="17"/>
      <c r="K58" s="18"/>
    </row>
    <row r="59" spans="1:11" ht="15.5" thickTop="1" thickBot="1">
      <c r="A59" s="19" t="s">
        <v>110</v>
      </c>
      <c r="B59" s="19">
        <v>530797</v>
      </c>
      <c r="C59" s="19">
        <v>6</v>
      </c>
      <c r="D59" s="19">
        <v>60</v>
      </c>
      <c r="E59" s="15" t="s">
        <v>66</v>
      </c>
      <c r="F59" s="19" t="s">
        <v>103</v>
      </c>
      <c r="G59" s="16" t="s">
        <v>68</v>
      </c>
      <c r="H59" s="33">
        <v>4160</v>
      </c>
      <c r="I59" s="19">
        <v>900</v>
      </c>
      <c r="J59" s="17"/>
      <c r="K59" s="18"/>
    </row>
    <row r="60" spans="1:11" ht="15.5" thickTop="1" thickBot="1">
      <c r="A60" s="19" t="s">
        <v>110</v>
      </c>
      <c r="B60" s="19">
        <v>530797</v>
      </c>
      <c r="C60" s="19">
        <v>6</v>
      </c>
      <c r="D60" s="19">
        <v>60</v>
      </c>
      <c r="E60" s="15" t="s">
        <v>66</v>
      </c>
      <c r="F60" s="19" t="s">
        <v>103</v>
      </c>
      <c r="G60" s="16" t="s">
        <v>68</v>
      </c>
      <c r="H60" s="33">
        <v>4031</v>
      </c>
      <c r="I60" s="19">
        <v>950</v>
      </c>
      <c r="J60" s="17"/>
      <c r="K60" s="18"/>
    </row>
    <row r="61" spans="1:11" ht="15.5" thickTop="1" thickBot="1">
      <c r="A61" s="19" t="s">
        <v>110</v>
      </c>
      <c r="B61" s="19">
        <v>530797</v>
      </c>
      <c r="C61" s="19">
        <v>6</v>
      </c>
      <c r="D61" s="19">
        <v>60</v>
      </c>
      <c r="E61" s="15" t="s">
        <v>66</v>
      </c>
      <c r="F61" s="19" t="s">
        <v>103</v>
      </c>
      <c r="G61" s="16" t="s">
        <v>68</v>
      </c>
      <c r="H61" s="33">
        <v>3892</v>
      </c>
      <c r="I61" s="19">
        <v>1000</v>
      </c>
      <c r="J61" s="17"/>
      <c r="K61" s="18"/>
    </row>
    <row r="62" spans="1:11" ht="15.5" thickTop="1" thickBot="1">
      <c r="A62" s="19" t="s">
        <v>110</v>
      </c>
      <c r="B62" s="19">
        <v>530797</v>
      </c>
      <c r="C62" s="19">
        <v>6</v>
      </c>
      <c r="D62" s="19">
        <v>60</v>
      </c>
      <c r="E62" s="15" t="s">
        <v>66</v>
      </c>
      <c r="F62" s="19" t="s">
        <v>103</v>
      </c>
      <c r="G62" s="16" t="s">
        <v>68</v>
      </c>
      <c r="H62" s="33">
        <v>3773</v>
      </c>
      <c r="I62" s="19">
        <v>1050</v>
      </c>
      <c r="J62" s="17"/>
      <c r="K62" s="18"/>
    </row>
    <row r="63" spans="1:11" ht="15.5" thickTop="1" thickBot="1">
      <c r="A63" s="19" t="s">
        <v>110</v>
      </c>
      <c r="B63" s="19">
        <v>530797</v>
      </c>
      <c r="C63" s="19">
        <v>6</v>
      </c>
      <c r="D63" s="19">
        <v>60</v>
      </c>
      <c r="E63" s="15" t="s">
        <v>66</v>
      </c>
      <c r="F63" s="19" t="s">
        <v>103</v>
      </c>
      <c r="G63" s="16" t="s">
        <v>68</v>
      </c>
      <c r="H63" s="33">
        <v>3654</v>
      </c>
      <c r="I63" s="19">
        <v>1100</v>
      </c>
      <c r="J63" s="17"/>
      <c r="K63" s="18"/>
    </row>
    <row r="64" spans="1:11" ht="15.5" thickTop="1" thickBot="1">
      <c r="A64" s="19" t="s">
        <v>110</v>
      </c>
      <c r="B64" s="19">
        <v>530797</v>
      </c>
      <c r="C64" s="19">
        <v>6</v>
      </c>
      <c r="D64" s="19">
        <v>60</v>
      </c>
      <c r="E64" s="15" t="s">
        <v>66</v>
      </c>
      <c r="F64" s="19" t="s">
        <v>103</v>
      </c>
      <c r="G64" s="16" t="s">
        <v>68</v>
      </c>
      <c r="H64" s="33">
        <v>3465</v>
      </c>
      <c r="I64" s="19">
        <v>1150</v>
      </c>
      <c r="J64" s="17"/>
      <c r="K64" s="18"/>
    </row>
    <row r="65" spans="1:11" ht="15.5" thickTop="1" thickBot="1">
      <c r="A65" s="19" t="s">
        <v>110</v>
      </c>
      <c r="B65" s="19">
        <v>530797</v>
      </c>
      <c r="C65" s="19">
        <v>6</v>
      </c>
      <c r="D65" s="19">
        <v>60</v>
      </c>
      <c r="E65" s="15" t="s">
        <v>66</v>
      </c>
      <c r="F65" s="19" t="s">
        <v>103</v>
      </c>
      <c r="G65" s="16" t="s">
        <v>68</v>
      </c>
      <c r="H65" s="33">
        <v>4091</v>
      </c>
      <c r="I65" s="19">
        <v>1200</v>
      </c>
      <c r="J65" s="17"/>
      <c r="K65" s="18"/>
    </row>
    <row r="66" spans="1:11" ht="15.5" thickTop="1" thickBot="1">
      <c r="A66" s="19" t="s">
        <v>110</v>
      </c>
      <c r="B66" s="19">
        <v>530797</v>
      </c>
      <c r="C66" s="19">
        <v>6</v>
      </c>
      <c r="D66" s="19">
        <v>60</v>
      </c>
      <c r="E66" s="15" t="s">
        <v>66</v>
      </c>
      <c r="F66" s="19" t="s">
        <v>103</v>
      </c>
      <c r="G66" s="16" t="s">
        <v>68</v>
      </c>
      <c r="H66" s="33">
        <v>3952</v>
      </c>
      <c r="I66" s="19">
        <v>1250</v>
      </c>
      <c r="J66" s="17"/>
      <c r="K66" s="18"/>
    </row>
    <row r="67" spans="1:11" ht="15.5" thickTop="1" thickBot="1">
      <c r="A67" s="19" t="s">
        <v>110</v>
      </c>
      <c r="B67" s="19">
        <v>530797</v>
      </c>
      <c r="C67" s="19">
        <v>6</v>
      </c>
      <c r="D67" s="19">
        <v>60</v>
      </c>
      <c r="E67" s="15" t="s">
        <v>66</v>
      </c>
      <c r="F67" s="19" t="s">
        <v>103</v>
      </c>
      <c r="G67" s="16" t="s">
        <v>68</v>
      </c>
      <c r="H67" s="33">
        <v>3813</v>
      </c>
      <c r="I67" s="24">
        <v>1300</v>
      </c>
      <c r="J67" s="17"/>
      <c r="K67" s="18"/>
    </row>
    <row r="68" spans="1:11" ht="15.5" thickTop="1" thickBot="1">
      <c r="A68" s="19" t="s">
        <v>111</v>
      </c>
      <c r="B68" s="19">
        <v>683377</v>
      </c>
      <c r="C68" s="19">
        <v>6</v>
      </c>
      <c r="D68" s="19">
        <v>60</v>
      </c>
      <c r="E68" s="15" t="s">
        <v>66</v>
      </c>
      <c r="F68" s="19" t="s">
        <v>103</v>
      </c>
      <c r="G68" s="16" t="s">
        <v>68</v>
      </c>
      <c r="H68" s="33">
        <v>3584</v>
      </c>
      <c r="I68" s="33">
        <v>800</v>
      </c>
      <c r="J68" s="17"/>
      <c r="K68" s="18"/>
    </row>
    <row r="69" spans="1:11" ht="15.5" thickTop="1" thickBot="1">
      <c r="A69" s="19" t="s">
        <v>111</v>
      </c>
      <c r="B69" s="19">
        <v>683377</v>
      </c>
      <c r="C69" s="19">
        <v>6</v>
      </c>
      <c r="D69" s="19">
        <v>60</v>
      </c>
      <c r="E69" s="15" t="s">
        <v>66</v>
      </c>
      <c r="F69" s="19" t="s">
        <v>103</v>
      </c>
      <c r="G69" s="16" t="s">
        <v>68</v>
      </c>
      <c r="H69" s="12">
        <v>4270</v>
      </c>
      <c r="I69" s="19">
        <v>850</v>
      </c>
      <c r="J69" s="71"/>
      <c r="K69" s="18"/>
    </row>
    <row r="70" spans="1:11" ht="15.5" thickTop="1" thickBot="1">
      <c r="A70" s="19" t="s">
        <v>111</v>
      </c>
      <c r="B70" s="19">
        <v>683377</v>
      </c>
      <c r="C70" s="19">
        <v>6</v>
      </c>
      <c r="D70" s="19">
        <v>60</v>
      </c>
      <c r="E70" s="15" t="s">
        <v>66</v>
      </c>
      <c r="F70" s="19" t="s">
        <v>103</v>
      </c>
      <c r="G70" s="16" t="s">
        <v>68</v>
      </c>
      <c r="H70" s="12">
        <v>4141</v>
      </c>
      <c r="I70" s="19">
        <v>900</v>
      </c>
      <c r="J70" s="71"/>
      <c r="K70" s="18"/>
    </row>
    <row r="71" spans="1:11" ht="15.5" thickTop="1" thickBot="1">
      <c r="A71" s="19" t="s">
        <v>111</v>
      </c>
      <c r="B71" s="19">
        <v>683377</v>
      </c>
      <c r="C71" s="19">
        <v>6</v>
      </c>
      <c r="D71" s="19">
        <v>60</v>
      </c>
      <c r="E71" s="15" t="s">
        <v>66</v>
      </c>
      <c r="F71" s="19" t="s">
        <v>103</v>
      </c>
      <c r="G71" s="16" t="s">
        <v>68</v>
      </c>
      <c r="H71" s="12">
        <v>4379</v>
      </c>
      <c r="I71" s="19">
        <v>950</v>
      </c>
      <c r="J71" s="71"/>
      <c r="K71" s="18"/>
    </row>
    <row r="72" spans="1:11" ht="15.5" thickTop="1" thickBot="1">
      <c r="A72" s="19" t="s">
        <v>111</v>
      </c>
      <c r="B72" s="19">
        <v>683377</v>
      </c>
      <c r="C72" s="19">
        <v>6</v>
      </c>
      <c r="D72" s="19">
        <v>60</v>
      </c>
      <c r="E72" s="15" t="s">
        <v>66</v>
      </c>
      <c r="F72" s="19" t="s">
        <v>103</v>
      </c>
      <c r="G72" s="16" t="s">
        <v>68</v>
      </c>
      <c r="H72" s="12">
        <v>4260</v>
      </c>
      <c r="I72" s="19">
        <v>1000</v>
      </c>
      <c r="J72" s="71"/>
      <c r="K72" s="18"/>
    </row>
    <row r="73" spans="1:11" ht="15.5" thickTop="1" thickBot="1">
      <c r="A73" s="19" t="s">
        <v>111</v>
      </c>
      <c r="B73" s="19">
        <v>683377</v>
      </c>
      <c r="C73" s="19">
        <v>6</v>
      </c>
      <c r="D73" s="19">
        <v>60</v>
      </c>
      <c r="E73" s="15" t="s">
        <v>66</v>
      </c>
      <c r="F73" s="19" t="s">
        <v>103</v>
      </c>
      <c r="G73" s="16" t="s">
        <v>68</v>
      </c>
      <c r="H73" s="12">
        <v>4180</v>
      </c>
      <c r="I73" s="19">
        <v>1050</v>
      </c>
      <c r="J73" s="71"/>
      <c r="K73" s="18"/>
    </row>
    <row r="74" spans="1:11" ht="15.5" thickTop="1" thickBot="1">
      <c r="A74" s="19" t="s">
        <v>111</v>
      </c>
      <c r="B74" s="19">
        <v>683377</v>
      </c>
      <c r="C74" s="19">
        <v>6</v>
      </c>
      <c r="D74" s="19">
        <v>60</v>
      </c>
      <c r="E74" s="15" t="s">
        <v>66</v>
      </c>
      <c r="F74" s="19" t="s">
        <v>103</v>
      </c>
      <c r="G74" s="16" t="s">
        <v>68</v>
      </c>
      <c r="H74" s="12">
        <v>4011</v>
      </c>
      <c r="I74" s="19">
        <v>1100</v>
      </c>
      <c r="J74" s="71"/>
      <c r="K74" s="18"/>
    </row>
    <row r="75" spans="1:11" ht="15.5" thickTop="1" thickBot="1">
      <c r="A75" s="19" t="s">
        <v>111</v>
      </c>
      <c r="B75" s="19">
        <v>683377</v>
      </c>
      <c r="C75" s="19">
        <v>6</v>
      </c>
      <c r="D75" s="19">
        <v>60</v>
      </c>
      <c r="E75" s="15" t="s">
        <v>66</v>
      </c>
      <c r="F75" s="19" t="s">
        <v>103</v>
      </c>
      <c r="G75" s="16" t="s">
        <v>68</v>
      </c>
      <c r="H75" s="12">
        <v>3902</v>
      </c>
      <c r="I75" s="19">
        <v>1150</v>
      </c>
      <c r="J75" s="71"/>
      <c r="K75" s="18"/>
    </row>
    <row r="76" spans="1:11" ht="15.5" thickTop="1" thickBot="1">
      <c r="A76" s="19" t="s">
        <v>111</v>
      </c>
      <c r="B76" s="19">
        <v>683377</v>
      </c>
      <c r="C76" s="19">
        <v>6</v>
      </c>
      <c r="D76" s="19">
        <v>60</v>
      </c>
      <c r="E76" s="15" t="s">
        <v>66</v>
      </c>
      <c r="F76" s="19" t="s">
        <v>103</v>
      </c>
      <c r="G76" s="16" t="s">
        <v>68</v>
      </c>
      <c r="H76" s="12">
        <v>3793</v>
      </c>
      <c r="I76" s="19">
        <v>1200</v>
      </c>
      <c r="J76" s="71"/>
      <c r="K76" s="18"/>
    </row>
    <row r="77" spans="1:11" ht="15.5" thickTop="1" thickBot="1">
      <c r="A77" s="19" t="s">
        <v>111</v>
      </c>
      <c r="B77" s="19">
        <v>683377</v>
      </c>
      <c r="C77" s="19">
        <v>6</v>
      </c>
      <c r="D77" s="19">
        <v>60</v>
      </c>
      <c r="E77" s="15" t="s">
        <v>66</v>
      </c>
      <c r="F77" s="19" t="s">
        <v>103</v>
      </c>
      <c r="G77" s="16" t="s">
        <v>68</v>
      </c>
      <c r="H77" s="12">
        <v>3624</v>
      </c>
      <c r="I77" s="19">
        <v>1250</v>
      </c>
      <c r="J77" s="71"/>
      <c r="K77" s="18"/>
    </row>
    <row r="78" spans="1:11" ht="15.5" thickTop="1" thickBot="1">
      <c r="A78" s="19" t="s">
        <v>111</v>
      </c>
      <c r="B78" s="19">
        <v>683377</v>
      </c>
      <c r="C78" s="19">
        <v>6</v>
      </c>
      <c r="D78" s="19">
        <v>60</v>
      </c>
      <c r="E78" s="15" t="s">
        <v>66</v>
      </c>
      <c r="F78" s="19" t="s">
        <v>103</v>
      </c>
      <c r="G78" s="16" t="s">
        <v>68</v>
      </c>
      <c r="H78" s="12">
        <v>3872</v>
      </c>
      <c r="I78" s="24">
        <v>1300</v>
      </c>
      <c r="J78" s="71"/>
      <c r="K78" s="18"/>
    </row>
    <row r="79" spans="1:11" ht="15.5" thickTop="1" thickBot="1">
      <c r="A79" s="19" t="s">
        <v>112</v>
      </c>
      <c r="B79" s="29">
        <v>797399</v>
      </c>
      <c r="C79" s="19">
        <v>6</v>
      </c>
      <c r="D79" s="19">
        <v>60</v>
      </c>
      <c r="E79" s="15" t="s">
        <v>66</v>
      </c>
      <c r="F79" s="19" t="s">
        <v>103</v>
      </c>
      <c r="G79" s="16" t="s">
        <v>68</v>
      </c>
      <c r="H79" s="29">
        <v>3654</v>
      </c>
      <c r="I79" s="33">
        <v>800</v>
      </c>
      <c r="J79" s="71"/>
      <c r="K79" s="18"/>
    </row>
    <row r="80" spans="1:11" ht="15.5" thickTop="1" thickBot="1">
      <c r="A80" s="19" t="s">
        <v>112</v>
      </c>
      <c r="B80" s="29">
        <v>797399</v>
      </c>
      <c r="C80" s="19">
        <v>6</v>
      </c>
      <c r="D80" s="19">
        <v>60</v>
      </c>
      <c r="E80" s="15" t="s">
        <v>66</v>
      </c>
      <c r="F80" s="19" t="s">
        <v>103</v>
      </c>
      <c r="G80" s="16" t="s">
        <v>68</v>
      </c>
      <c r="H80" s="29">
        <v>3892</v>
      </c>
      <c r="I80" s="19">
        <v>850</v>
      </c>
      <c r="J80" s="71"/>
      <c r="K80" s="18"/>
    </row>
    <row r="81" spans="1:18" ht="15.5" thickTop="1" thickBot="1">
      <c r="A81" s="19" t="s">
        <v>112</v>
      </c>
      <c r="B81" s="29">
        <v>797399</v>
      </c>
      <c r="C81" s="19">
        <v>6</v>
      </c>
      <c r="D81" s="19">
        <v>60</v>
      </c>
      <c r="E81" s="15" t="s">
        <v>66</v>
      </c>
      <c r="F81" s="19" t="s">
        <v>103</v>
      </c>
      <c r="G81" s="16" t="s">
        <v>68</v>
      </c>
      <c r="H81" s="29">
        <v>4150</v>
      </c>
      <c r="I81" s="19">
        <v>900</v>
      </c>
      <c r="J81" s="71"/>
      <c r="K81" s="18"/>
    </row>
    <row r="82" spans="1:18" ht="15.5" thickTop="1" thickBot="1">
      <c r="A82" s="19" t="s">
        <v>112</v>
      </c>
      <c r="B82" s="29">
        <v>797399</v>
      </c>
      <c r="C82" s="19">
        <v>6</v>
      </c>
      <c r="D82" s="19">
        <v>60</v>
      </c>
      <c r="E82" s="15" t="s">
        <v>66</v>
      </c>
      <c r="F82" s="19" t="s">
        <v>103</v>
      </c>
      <c r="G82" s="16" t="s">
        <v>68</v>
      </c>
      <c r="H82" s="29">
        <v>4399</v>
      </c>
      <c r="I82" s="19">
        <v>950</v>
      </c>
      <c r="J82" s="71"/>
      <c r="K82" s="18"/>
      <c r="M82" s="76" t="s">
        <v>115</v>
      </c>
      <c r="R82" s="76" t="s">
        <v>137</v>
      </c>
    </row>
    <row r="83" spans="1:18" ht="15.5" thickTop="1" thickBot="1">
      <c r="A83" s="19" t="s">
        <v>112</v>
      </c>
      <c r="B83" s="29">
        <v>797399</v>
      </c>
      <c r="C83" s="19">
        <v>6</v>
      </c>
      <c r="D83" s="19">
        <v>60</v>
      </c>
      <c r="E83" s="15" t="s">
        <v>66</v>
      </c>
      <c r="F83" s="19" t="s">
        <v>103</v>
      </c>
      <c r="G83" s="16" t="s">
        <v>68</v>
      </c>
      <c r="H83" s="29">
        <v>4210</v>
      </c>
      <c r="I83" s="19">
        <v>1000</v>
      </c>
      <c r="J83" s="71"/>
      <c r="K83" s="18"/>
      <c r="M83" s="76" t="s">
        <v>116</v>
      </c>
      <c r="R83" s="76" t="s">
        <v>138</v>
      </c>
    </row>
    <row r="84" spans="1:18" ht="15.5" thickTop="1" thickBot="1">
      <c r="A84" s="19" t="s">
        <v>112</v>
      </c>
      <c r="B84" s="29">
        <v>797399</v>
      </c>
      <c r="C84" s="19">
        <v>6</v>
      </c>
      <c r="D84" s="19">
        <v>60</v>
      </c>
      <c r="E84" s="15" t="s">
        <v>66</v>
      </c>
      <c r="F84" s="19" t="s">
        <v>103</v>
      </c>
      <c r="G84" s="16" t="s">
        <v>68</v>
      </c>
      <c r="H84" s="29">
        <v>4091</v>
      </c>
      <c r="I84" s="19">
        <v>1050</v>
      </c>
      <c r="J84" s="71"/>
      <c r="K84" s="18"/>
      <c r="M84" s="76" t="s">
        <v>117</v>
      </c>
      <c r="R84" s="76" t="s">
        <v>139</v>
      </c>
    </row>
    <row r="85" spans="1:18" ht="15.5" thickTop="1" thickBot="1">
      <c r="A85" s="19" t="s">
        <v>112</v>
      </c>
      <c r="B85" s="29">
        <v>797399</v>
      </c>
      <c r="C85" s="19">
        <v>6</v>
      </c>
      <c r="D85" s="19">
        <v>60</v>
      </c>
      <c r="E85" s="15" t="s">
        <v>66</v>
      </c>
      <c r="F85" s="19" t="s">
        <v>103</v>
      </c>
      <c r="G85" s="16" t="s">
        <v>68</v>
      </c>
      <c r="H85" s="29">
        <v>3922</v>
      </c>
      <c r="I85" s="19">
        <v>1100</v>
      </c>
      <c r="J85" s="71"/>
      <c r="K85" s="18"/>
      <c r="M85" s="76" t="s">
        <v>118</v>
      </c>
      <c r="R85" s="76" t="s">
        <v>140</v>
      </c>
    </row>
    <row r="86" spans="1:18" ht="15.5" thickTop="1" thickBot="1">
      <c r="A86" s="19" t="s">
        <v>112</v>
      </c>
      <c r="B86" s="29">
        <v>797399</v>
      </c>
      <c r="C86" s="19">
        <v>6</v>
      </c>
      <c r="D86" s="19">
        <v>60</v>
      </c>
      <c r="E86" s="15" t="s">
        <v>66</v>
      </c>
      <c r="F86" s="19" t="s">
        <v>103</v>
      </c>
      <c r="G86" s="16" t="s">
        <v>68</v>
      </c>
      <c r="H86" s="29">
        <v>3853</v>
      </c>
      <c r="I86" s="19">
        <v>1150</v>
      </c>
      <c r="J86" s="71"/>
      <c r="K86" s="18"/>
      <c r="M86" s="76" t="s">
        <v>119</v>
      </c>
      <c r="R86" s="76" t="s">
        <v>141</v>
      </c>
    </row>
    <row r="87" spans="1:18" ht="15.5" thickTop="1" thickBot="1">
      <c r="A87" s="19" t="s">
        <v>112</v>
      </c>
      <c r="B87" s="29">
        <v>797399</v>
      </c>
      <c r="C87" s="19">
        <v>6</v>
      </c>
      <c r="D87" s="19">
        <v>60</v>
      </c>
      <c r="E87" s="15" t="s">
        <v>66</v>
      </c>
      <c r="F87" s="19" t="s">
        <v>103</v>
      </c>
      <c r="G87" s="16" t="s">
        <v>68</v>
      </c>
      <c r="H87" s="29">
        <v>3723</v>
      </c>
      <c r="I87" s="19">
        <v>1200</v>
      </c>
      <c r="J87" s="71"/>
      <c r="K87" s="18"/>
      <c r="M87" s="76" t="s">
        <v>120</v>
      </c>
      <c r="R87" s="76" t="s">
        <v>142</v>
      </c>
    </row>
    <row r="88" spans="1:18" ht="15.5" thickTop="1" thickBot="1">
      <c r="A88" s="19" t="s">
        <v>112</v>
      </c>
      <c r="B88" s="29">
        <v>797399</v>
      </c>
      <c r="C88" s="19">
        <v>6</v>
      </c>
      <c r="D88" s="19">
        <v>60</v>
      </c>
      <c r="E88" s="15" t="s">
        <v>66</v>
      </c>
      <c r="F88" s="19" t="s">
        <v>103</v>
      </c>
      <c r="G88" s="16" t="s">
        <v>68</v>
      </c>
      <c r="H88" s="29">
        <v>3575</v>
      </c>
      <c r="I88" s="19">
        <v>1250</v>
      </c>
      <c r="J88" s="71"/>
      <c r="K88" s="18"/>
      <c r="M88" s="76" t="s">
        <v>121</v>
      </c>
      <c r="R88" s="76" t="s">
        <v>139</v>
      </c>
    </row>
    <row r="89" spans="1:18" ht="15.5" thickTop="1" thickBot="1">
      <c r="A89" s="19" t="s">
        <v>112</v>
      </c>
      <c r="B89" s="29">
        <v>797399</v>
      </c>
      <c r="C89" s="19">
        <v>6</v>
      </c>
      <c r="D89" s="19">
        <v>60</v>
      </c>
      <c r="E89" s="15" t="s">
        <v>66</v>
      </c>
      <c r="F89" s="19" t="s">
        <v>103</v>
      </c>
      <c r="G89" s="16" t="s">
        <v>68</v>
      </c>
      <c r="H89" s="29">
        <v>3853</v>
      </c>
      <c r="I89" s="24">
        <v>1300</v>
      </c>
      <c r="J89" s="71"/>
      <c r="K89" s="18"/>
      <c r="M89" s="76" t="s">
        <v>122</v>
      </c>
      <c r="R89" s="76" t="s">
        <v>140</v>
      </c>
    </row>
    <row r="90" spans="1:18" ht="15.5" thickTop="1" thickBot="1">
      <c r="A90" s="19" t="s">
        <v>113</v>
      </c>
      <c r="B90" s="19">
        <v>877411</v>
      </c>
      <c r="C90" s="19">
        <v>6</v>
      </c>
      <c r="D90" s="19">
        <v>60</v>
      </c>
      <c r="E90" s="15" t="s">
        <v>66</v>
      </c>
      <c r="F90" s="19" t="s">
        <v>103</v>
      </c>
      <c r="G90" s="16" t="s">
        <v>68</v>
      </c>
      <c r="H90" s="29">
        <v>2442</v>
      </c>
      <c r="I90" s="33">
        <v>800</v>
      </c>
      <c r="J90" s="17"/>
      <c r="K90" s="18"/>
      <c r="M90" s="76" t="s">
        <v>123</v>
      </c>
      <c r="R90" s="76" t="s">
        <v>141</v>
      </c>
    </row>
    <row r="91" spans="1:18" ht="15.5" thickTop="1" thickBot="1">
      <c r="A91" s="19" t="s">
        <v>113</v>
      </c>
      <c r="B91" s="19">
        <v>877411</v>
      </c>
      <c r="C91" s="19">
        <v>6</v>
      </c>
      <c r="D91" s="19">
        <v>60</v>
      </c>
      <c r="E91" s="15" t="s">
        <v>66</v>
      </c>
      <c r="F91" s="19" t="s">
        <v>103</v>
      </c>
      <c r="G91" s="16" t="s">
        <v>68</v>
      </c>
      <c r="H91" s="29">
        <v>3078</v>
      </c>
      <c r="I91" s="19">
        <v>850</v>
      </c>
      <c r="J91" s="30"/>
      <c r="K91" s="18"/>
      <c r="M91" s="76" t="s">
        <v>124</v>
      </c>
      <c r="R91" s="76" t="s">
        <v>143</v>
      </c>
    </row>
    <row r="92" spans="1:18" ht="15.5" thickTop="1" thickBot="1">
      <c r="A92" s="19" t="s">
        <v>113</v>
      </c>
      <c r="B92" s="19">
        <v>877411</v>
      </c>
      <c r="C92" s="19">
        <v>6</v>
      </c>
      <c r="D92" s="19">
        <v>60</v>
      </c>
      <c r="E92" s="15" t="s">
        <v>66</v>
      </c>
      <c r="F92" s="19" t="s">
        <v>103</v>
      </c>
      <c r="G92" s="16" t="s">
        <v>68</v>
      </c>
      <c r="H92" s="29">
        <v>3773</v>
      </c>
      <c r="I92" s="19">
        <v>900</v>
      </c>
      <c r="J92" s="30"/>
      <c r="K92" s="18"/>
      <c r="M92" s="76" t="s">
        <v>125</v>
      </c>
      <c r="R92" s="76" t="s">
        <v>144</v>
      </c>
    </row>
    <row r="93" spans="1:18" ht="15.5" thickTop="1" thickBot="1">
      <c r="A93" s="19" t="s">
        <v>113</v>
      </c>
      <c r="B93" s="19">
        <v>877411</v>
      </c>
      <c r="C93" s="19">
        <v>6</v>
      </c>
      <c r="D93" s="19">
        <v>60</v>
      </c>
      <c r="E93" s="15" t="s">
        <v>66</v>
      </c>
      <c r="F93" s="19" t="s">
        <v>103</v>
      </c>
      <c r="G93" s="16" t="s">
        <v>68</v>
      </c>
      <c r="H93" s="29">
        <v>3584</v>
      </c>
      <c r="I93" s="19">
        <v>950</v>
      </c>
      <c r="J93" s="30"/>
      <c r="K93" s="18"/>
      <c r="M93" s="76" t="s">
        <v>126</v>
      </c>
      <c r="R93" s="76" t="s">
        <v>145</v>
      </c>
    </row>
    <row r="94" spans="1:18" ht="15.5" thickTop="1" thickBot="1">
      <c r="A94" s="19" t="s">
        <v>113</v>
      </c>
      <c r="B94" s="19">
        <v>877411</v>
      </c>
      <c r="C94" s="19">
        <v>6</v>
      </c>
      <c r="D94" s="19">
        <v>60</v>
      </c>
      <c r="E94" s="15" t="s">
        <v>66</v>
      </c>
      <c r="F94" s="19" t="s">
        <v>103</v>
      </c>
      <c r="G94" s="16" t="s">
        <v>68</v>
      </c>
      <c r="H94" s="29">
        <v>3813</v>
      </c>
      <c r="I94" s="19">
        <v>1000</v>
      </c>
      <c r="J94" s="30"/>
      <c r="K94" s="18"/>
      <c r="M94" s="76" t="s">
        <v>127</v>
      </c>
      <c r="R94" s="76" t="s">
        <v>146</v>
      </c>
    </row>
    <row r="95" spans="1:18" ht="15.5" thickTop="1" thickBot="1">
      <c r="A95" s="19" t="s">
        <v>113</v>
      </c>
      <c r="B95" s="19">
        <v>877411</v>
      </c>
      <c r="C95" s="19">
        <v>6</v>
      </c>
      <c r="D95" s="19">
        <v>60</v>
      </c>
      <c r="E95" s="15" t="s">
        <v>66</v>
      </c>
      <c r="F95" s="19" t="s">
        <v>103</v>
      </c>
      <c r="G95" s="16" t="s">
        <v>68</v>
      </c>
      <c r="H95" s="29">
        <v>3694</v>
      </c>
      <c r="I95" s="19">
        <v>1050</v>
      </c>
      <c r="J95" s="30"/>
      <c r="K95" s="18"/>
      <c r="M95" s="76" t="s">
        <v>128</v>
      </c>
      <c r="R95" s="76" t="s">
        <v>147</v>
      </c>
    </row>
    <row r="96" spans="1:18" ht="15.5" thickTop="1" thickBot="1">
      <c r="A96" s="19" t="s">
        <v>113</v>
      </c>
      <c r="B96" s="19">
        <v>877411</v>
      </c>
      <c r="C96" s="19">
        <v>6</v>
      </c>
      <c r="D96" s="19">
        <v>60</v>
      </c>
      <c r="E96" s="15" t="s">
        <v>66</v>
      </c>
      <c r="F96" s="19" t="s">
        <v>103</v>
      </c>
      <c r="G96" s="16" t="s">
        <v>68</v>
      </c>
      <c r="H96" s="29">
        <v>3555</v>
      </c>
      <c r="I96" s="19">
        <v>1100</v>
      </c>
      <c r="J96" s="30"/>
      <c r="K96" s="18"/>
      <c r="M96" s="76" t="s">
        <v>129</v>
      </c>
      <c r="R96" s="76" t="s">
        <v>148</v>
      </c>
    </row>
    <row r="97" spans="1:18" ht="15.5" thickTop="1" thickBot="1">
      <c r="A97" s="19" t="s">
        <v>113</v>
      </c>
      <c r="B97" s="19">
        <v>877411</v>
      </c>
      <c r="C97" s="19">
        <v>6</v>
      </c>
      <c r="D97" s="19">
        <v>60</v>
      </c>
      <c r="E97" s="15" t="s">
        <v>66</v>
      </c>
      <c r="F97" s="19" t="s">
        <v>103</v>
      </c>
      <c r="G97" s="16" t="s">
        <v>68</v>
      </c>
      <c r="H97" s="29">
        <v>3803</v>
      </c>
      <c r="I97" s="19">
        <v>1150</v>
      </c>
      <c r="J97" s="30"/>
      <c r="K97" s="18"/>
      <c r="M97" s="28"/>
      <c r="R97" s="76" t="s">
        <v>149</v>
      </c>
    </row>
    <row r="98" spans="1:18" ht="15.5" thickTop="1" thickBot="1">
      <c r="A98" s="19" t="s">
        <v>113</v>
      </c>
      <c r="B98" s="19">
        <v>877411</v>
      </c>
      <c r="C98" s="19">
        <v>6</v>
      </c>
      <c r="D98" s="19">
        <v>60</v>
      </c>
      <c r="E98" s="15" t="s">
        <v>66</v>
      </c>
      <c r="F98" s="19" t="s">
        <v>103</v>
      </c>
      <c r="G98" s="16" t="s">
        <v>68</v>
      </c>
      <c r="H98" s="29">
        <v>3694</v>
      </c>
      <c r="I98" s="19">
        <v>1200</v>
      </c>
      <c r="J98" s="30"/>
      <c r="K98" s="18"/>
      <c r="M98" s="76" t="s">
        <v>130</v>
      </c>
      <c r="R98" s="76" t="s">
        <v>150</v>
      </c>
    </row>
    <row r="99" spans="1:18" ht="15.5" thickTop="1" thickBot="1">
      <c r="A99" s="19" t="s">
        <v>113</v>
      </c>
      <c r="B99" s="19">
        <v>877411</v>
      </c>
      <c r="C99" s="19">
        <v>6</v>
      </c>
      <c r="D99" s="19">
        <v>60</v>
      </c>
      <c r="E99" s="15" t="s">
        <v>66</v>
      </c>
      <c r="F99" s="19" t="s">
        <v>103</v>
      </c>
      <c r="G99" s="16" t="s">
        <v>68</v>
      </c>
      <c r="H99" s="29">
        <v>4011</v>
      </c>
      <c r="I99" s="19">
        <v>1250</v>
      </c>
      <c r="J99" s="30"/>
      <c r="K99" s="18"/>
      <c r="M99" s="76" t="s">
        <v>131</v>
      </c>
      <c r="R99" s="76" t="s">
        <v>151</v>
      </c>
    </row>
    <row r="100" spans="1:18" ht="15.5" thickTop="1" thickBot="1">
      <c r="A100" s="19" t="s">
        <v>113</v>
      </c>
      <c r="B100" s="19">
        <v>877411</v>
      </c>
      <c r="C100" s="19">
        <v>6</v>
      </c>
      <c r="D100" s="19">
        <v>60</v>
      </c>
      <c r="E100" s="15" t="s">
        <v>66</v>
      </c>
      <c r="F100" s="19" t="s">
        <v>103</v>
      </c>
      <c r="G100" s="16" t="s">
        <v>68</v>
      </c>
      <c r="H100" s="29">
        <v>3892</v>
      </c>
      <c r="I100" s="24">
        <v>1300</v>
      </c>
      <c r="J100" s="30"/>
      <c r="K100" s="18"/>
      <c r="M100" s="76" t="s">
        <v>132</v>
      </c>
      <c r="R100" s="76" t="s">
        <v>152</v>
      </c>
    </row>
    <row r="101" spans="1:18" ht="15.5" thickTop="1" thickBot="1">
      <c r="A101" s="24" t="s">
        <v>114</v>
      </c>
      <c r="B101" s="31">
        <v>979873</v>
      </c>
      <c r="C101" s="24">
        <v>6</v>
      </c>
      <c r="D101" s="24">
        <v>60</v>
      </c>
      <c r="E101" s="69" t="s">
        <v>66</v>
      </c>
      <c r="F101" s="24" t="s">
        <v>103</v>
      </c>
      <c r="G101" s="16" t="s">
        <v>69</v>
      </c>
      <c r="H101" s="29"/>
      <c r="I101" s="33">
        <v>800</v>
      </c>
      <c r="J101" s="30"/>
      <c r="K101" s="18"/>
      <c r="M101" s="76" t="s">
        <v>133</v>
      </c>
    </row>
    <row r="102" spans="1:18" ht="15.5" thickTop="1" thickBot="1">
      <c r="A102" s="24" t="s">
        <v>114</v>
      </c>
      <c r="B102" s="31">
        <v>979873</v>
      </c>
      <c r="C102" s="24">
        <v>6</v>
      </c>
      <c r="D102" s="24">
        <v>60</v>
      </c>
      <c r="E102" s="69" t="s">
        <v>66</v>
      </c>
      <c r="F102" s="24" t="s">
        <v>103</v>
      </c>
      <c r="G102" s="16" t="s">
        <v>69</v>
      </c>
      <c r="H102" s="29"/>
      <c r="I102" s="19">
        <v>850</v>
      </c>
      <c r="J102" s="30"/>
      <c r="K102" s="18"/>
      <c r="M102" s="28"/>
    </row>
    <row r="103" spans="1:18" ht="15.5" thickTop="1" thickBot="1">
      <c r="A103" s="24" t="s">
        <v>114</v>
      </c>
      <c r="B103" s="31">
        <v>979873</v>
      </c>
      <c r="C103" s="24">
        <v>6</v>
      </c>
      <c r="D103" s="24">
        <v>60</v>
      </c>
      <c r="E103" s="69" t="s">
        <v>66</v>
      </c>
      <c r="F103" s="24" t="s">
        <v>103</v>
      </c>
      <c r="G103" s="16" t="s">
        <v>69</v>
      </c>
      <c r="H103" s="29"/>
      <c r="I103" s="19">
        <v>900</v>
      </c>
      <c r="J103" s="30"/>
      <c r="K103" s="18"/>
      <c r="M103" s="76" t="s">
        <v>134</v>
      </c>
    </row>
    <row r="104" spans="1:18" ht="15.5" thickTop="1" thickBot="1">
      <c r="A104" s="24" t="s">
        <v>114</v>
      </c>
      <c r="B104" s="31">
        <v>979873</v>
      </c>
      <c r="C104" s="24">
        <v>6</v>
      </c>
      <c r="D104" s="24">
        <v>60</v>
      </c>
      <c r="E104" s="69" t="s">
        <v>66</v>
      </c>
      <c r="F104" s="24" t="s">
        <v>103</v>
      </c>
      <c r="G104" s="16" t="s">
        <v>69</v>
      </c>
      <c r="H104" s="29"/>
      <c r="I104" s="19">
        <v>950</v>
      </c>
      <c r="J104" s="30"/>
      <c r="K104" s="18"/>
      <c r="M104" s="76" t="s">
        <v>135</v>
      </c>
    </row>
    <row r="105" spans="1:18" ht="15.5" thickTop="1" thickBot="1">
      <c r="A105" s="24" t="s">
        <v>114</v>
      </c>
      <c r="B105" s="31">
        <v>979873</v>
      </c>
      <c r="C105" s="24">
        <v>6</v>
      </c>
      <c r="D105" s="24">
        <v>60</v>
      </c>
      <c r="E105" s="69" t="s">
        <v>66</v>
      </c>
      <c r="F105" s="24" t="s">
        <v>103</v>
      </c>
      <c r="G105" s="16" t="s">
        <v>69</v>
      </c>
      <c r="H105" s="29"/>
      <c r="I105" s="19">
        <v>1000</v>
      </c>
      <c r="J105" s="30"/>
      <c r="K105" s="18"/>
      <c r="M105" s="76" t="s">
        <v>136</v>
      </c>
    </row>
    <row r="106" spans="1:18" ht="15.5" thickTop="1" thickBot="1">
      <c r="A106" s="24" t="s">
        <v>114</v>
      </c>
      <c r="B106" s="31">
        <v>979873</v>
      </c>
      <c r="C106" s="24">
        <v>6</v>
      </c>
      <c r="D106" s="24">
        <v>60</v>
      </c>
      <c r="E106" s="69" t="s">
        <v>66</v>
      </c>
      <c r="F106" s="24" t="s">
        <v>103</v>
      </c>
      <c r="G106" s="16" t="s">
        <v>69</v>
      </c>
      <c r="H106" s="29"/>
      <c r="I106" s="19">
        <v>1050</v>
      </c>
      <c r="J106" s="30"/>
      <c r="K106" s="18"/>
    </row>
    <row r="107" spans="1:18" ht="15.5" thickTop="1" thickBot="1">
      <c r="A107" s="24" t="s">
        <v>114</v>
      </c>
      <c r="B107" s="31">
        <v>979873</v>
      </c>
      <c r="C107" s="24">
        <v>6</v>
      </c>
      <c r="D107" s="24">
        <v>60</v>
      </c>
      <c r="E107" s="69" t="s">
        <v>66</v>
      </c>
      <c r="F107" s="24" t="s">
        <v>103</v>
      </c>
      <c r="G107" s="16" t="s">
        <v>69</v>
      </c>
      <c r="H107" s="29"/>
      <c r="I107" s="19">
        <v>1100</v>
      </c>
      <c r="J107" s="30"/>
      <c r="K107" s="18"/>
    </row>
    <row r="108" spans="1:18" ht="15.5" thickTop="1" thickBot="1">
      <c r="A108" s="24" t="s">
        <v>114</v>
      </c>
      <c r="B108" s="31">
        <v>979873</v>
      </c>
      <c r="C108" s="24">
        <v>6</v>
      </c>
      <c r="D108" s="24">
        <v>60</v>
      </c>
      <c r="E108" s="69" t="s">
        <v>66</v>
      </c>
      <c r="F108" s="24" t="s">
        <v>103</v>
      </c>
      <c r="G108" s="16" t="s">
        <v>69</v>
      </c>
      <c r="H108" s="29"/>
      <c r="I108" s="19">
        <v>1150</v>
      </c>
      <c r="J108" s="30"/>
      <c r="K108" s="18"/>
    </row>
    <row r="109" spans="1:18" ht="15.5" thickTop="1" thickBot="1">
      <c r="A109" s="24" t="s">
        <v>114</v>
      </c>
      <c r="B109" s="31">
        <v>979873</v>
      </c>
      <c r="C109" s="24">
        <v>6</v>
      </c>
      <c r="D109" s="24">
        <v>60</v>
      </c>
      <c r="E109" s="69" t="s">
        <v>66</v>
      </c>
      <c r="F109" s="24" t="s">
        <v>103</v>
      </c>
      <c r="G109" s="16" t="s">
        <v>69</v>
      </c>
      <c r="H109" s="29"/>
      <c r="I109" s="19">
        <v>1200</v>
      </c>
      <c r="J109" s="30"/>
      <c r="K109" s="18"/>
    </row>
    <row r="110" spans="1:18" ht="15.5" thickTop="1" thickBot="1">
      <c r="A110" s="24" t="s">
        <v>114</v>
      </c>
      <c r="B110" s="31">
        <v>979873</v>
      </c>
      <c r="C110" s="24">
        <v>6</v>
      </c>
      <c r="D110" s="24">
        <v>60</v>
      </c>
      <c r="E110" s="69" t="s">
        <v>66</v>
      </c>
      <c r="F110" s="24" t="s">
        <v>103</v>
      </c>
      <c r="G110" s="16" t="s">
        <v>69</v>
      </c>
      <c r="H110" s="29"/>
      <c r="I110" s="19">
        <v>1250</v>
      </c>
      <c r="J110" s="30"/>
      <c r="K110" s="18"/>
    </row>
    <row r="111" spans="1:18" ht="15.5" thickTop="1" thickBot="1">
      <c r="A111" s="24" t="s">
        <v>114</v>
      </c>
      <c r="B111" s="31">
        <v>979873</v>
      </c>
      <c r="C111" s="24">
        <v>6</v>
      </c>
      <c r="D111" s="24">
        <v>60</v>
      </c>
      <c r="E111" s="69" t="s">
        <v>66</v>
      </c>
      <c r="F111" s="24" t="s">
        <v>103</v>
      </c>
      <c r="G111" s="16" t="s">
        <v>69</v>
      </c>
      <c r="H111" s="24"/>
      <c r="I111" s="24">
        <v>1300</v>
      </c>
      <c r="J111" s="25"/>
      <c r="K111" s="26">
        <f>AVERAGE(H2:H111)</f>
        <v>3944.0113636363635</v>
      </c>
    </row>
  </sheetData>
  <phoneticPr fontId="10" type="noConversion"/>
  <conditionalFormatting sqref="G2:G111">
    <cfRule type="cellIs" dxfId="2" priority="1" operator="equal">
      <formula>"Terminado"</formula>
    </cfRule>
    <cfRule type="cellIs" dxfId="1" priority="2" operator="equal">
      <formula>"En Proceso"</formula>
    </cfRule>
    <cfRule type="cellIs" dxfId="0" priority="3" operator="equal">
      <formula>"Sin Iniciar"</formula>
    </cfRule>
  </conditionalFormatting>
  <dataValidations count="2">
    <dataValidation type="list" showInputMessage="1" showErrorMessage="1" sqref="G13:G111" xr:uid="{C2C6BC67-EB70-4013-A524-73CD8C8210A2}">
      <formula1>$S$2:$S$23</formula1>
    </dataValidation>
    <dataValidation type="list" showInputMessage="1" showErrorMessage="1" sqref="G2:G12" xr:uid="{5FEBCAB0-F628-43FF-A3E0-3D5217A2F796}">
      <formula1>INDIRECT("Tabla3[Status]")</formula1>
    </dataValidation>
  </dataValidation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1181D7-DAF2-4A5F-8EEE-896D0958A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2HT Baseline</vt:lpstr>
      <vt:lpstr>6HP</vt:lpstr>
      <vt:lpstr>Datos Modelo Baseline</vt:lpstr>
      <vt:lpstr>Datos Modelo 1 Final</vt:lpstr>
      <vt:lpstr>Datos Modelo 2 Final</vt:lpstr>
    </vt:vector>
  </TitlesOfParts>
  <Company>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Pesca Alba</dc:creator>
  <cp:lastModifiedBy>Leonardo Gastaldo</cp:lastModifiedBy>
  <dcterms:created xsi:type="dcterms:W3CDTF">2025-11-07T15:00:55Z</dcterms:created>
  <dcterms:modified xsi:type="dcterms:W3CDTF">2025-12-01T01:52:23Z</dcterms:modified>
</cp:coreProperties>
</file>